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Sheet2!$B$3:$L$143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<sst xmlns="http://schemas.openxmlformats.org/spreadsheetml/2006/main" count="1302" uniqueCount="781">
  <si>
    <t>制造执行系统产品待办列表（动态迭代阶段）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</si>
  <si>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</si>
  <si>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</si>
  <si>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</si>
  <si>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</si>
  <si>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</si>
  <si>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</si>
  <si>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</si>
  <si>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</si>
  <si>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</si>
  <si>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</si>
  <si>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</si>
  <si>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</si>
  <si>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</si>
  <si>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</si>
  <si>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</si>
  <si>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</si>
  <si>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</si>
  <si>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</si>
  <si>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t>V1.1.1</t>
  </si>
  <si>
    <t>张伟</t>
  </si>
  <si>
    <t>迭代更新</t>
  </si>
  <si>
    <t>迭代1完成后更新产品代表列表，未增加新待办项，只更新了待办进度</t>
  </si>
  <si>
    <t>分管领导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</si>
  <si>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</si>
  <si>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t>制造执行系统产品待办列表</t>
  </si>
  <si>
    <r>
      <rPr>
        <b/>
        <sz val="14"/>
        <color rgb="FF000000"/>
        <rFont val="宋体"/>
        <charset val="134"/>
      </rPr>
      <t>待办项</t>
    </r>
    <r>
      <rPr>
        <b/>
        <sz val="14"/>
        <color rgb="FF000000"/>
        <rFont val="Segoe UI"/>
        <charset val="134"/>
      </rPr>
      <t xml:space="preserve"> ID</t>
    </r>
  </si>
  <si>
    <r>
      <rPr>
        <b/>
        <sz val="14"/>
        <color rgb="FF000000"/>
        <rFont val="宋体"/>
        <charset val="134"/>
      </rPr>
      <t>用户故事</t>
    </r>
    <r>
      <rPr>
        <b/>
        <sz val="14"/>
        <color rgb="FF000000"/>
        <rFont val="Segoe UI"/>
        <charset val="134"/>
      </rPr>
      <t xml:space="preserve"> ID</t>
    </r>
  </si>
  <si>
    <t>所属模块</t>
  </si>
  <si>
    <t>待办项标题</t>
  </si>
  <si>
    <t>优先级</t>
  </si>
  <si>
    <t>故事点</t>
  </si>
  <si>
    <t>依赖关系</t>
  </si>
  <si>
    <t>迭代分配</t>
  </si>
  <si>
    <t>开发状态</t>
  </si>
  <si>
    <t>验收标准要点</t>
  </si>
  <si>
    <t>PB-HM-001</t>
  </si>
  <si>
    <t>MES-HM-01</t>
  </si>
  <si>
    <t>首页及通用（HM）</t>
  </si>
  <si>
    <t>首页生产数据概览</t>
  </si>
  <si>
    <t>高</t>
  </si>
  <si>
    <t>依赖生产管理模块、销售管理模块核心数据统计功能</t>
  </si>
  <si>
    <t>已完成</t>
  </si>
  <si>
    <t>1. 首页加载核心指标延迟≤3 秒；2. 含订单状态等核心指标，支持配置隐藏；3. 点击指标跳转明细；4. 支持时间范围切换；5. 数据实时同步延迟≤5 秒</t>
  </si>
  <si>
    <t>指标展示样式支持配置（卡片式 / 图表式）</t>
  </si>
  <si>
    <t>PB-HM-002</t>
  </si>
  <si>
    <t>MES-HM-02</t>
  </si>
  <si>
    <t>全局菜单搜索</t>
  </si>
  <si>
    <t>中</t>
  </si>
  <si>
    <t>依赖系统菜单管理模块的菜单数据</t>
  </si>
  <si>
    <t>迭代 1</t>
  </si>
  <si>
    <t>1. 模糊匹配响应≤1 秒；2. 展示菜单名称及所属模块，按匹配度排序；3. 点击直接跳转；4. 无结果提示关键词调整；5. 保留 10 条搜索历史</t>
  </si>
  <si>
    <t>支持清除搜索历史，屏蔽无权限菜单</t>
  </si>
  <si>
    <t>PB-HM-003</t>
  </si>
  <si>
    <t>MES-HM-03</t>
  </si>
  <si>
    <t>界面布局与皮肤设置</t>
  </si>
  <si>
    <t>低</t>
  </si>
  <si>
    <t>无（依赖系统界面样式配置功能）</t>
  </si>
  <si>
    <t>1. 支持浅色 / 深色主题及自定义颜色；2. 菜单布局支持左侧固定 / 折叠；3. 设置与账号绑定；4. 支持恢复默认设置；5. 切换不影响功能，响应延迟≤1 秒</t>
  </si>
  <si>
    <t>主题颜色调整不影响核心功能可读性</t>
  </si>
  <si>
    <t>PB-HM-004</t>
  </si>
  <si>
    <t>MES-HM-04</t>
  </si>
  <si>
    <t>修改个人信息</t>
  </si>
  <si>
    <t>依赖用户管理模块的用户信息查询功能</t>
  </si>
  <si>
    <t>1. 姓名、部门不可编辑；2. 联系电话格式校验；3. 邮箱格式校验；4. 保存后提示成功并同步更新；5. 操作有日志记录</t>
  </si>
  <si>
    <t>不可编辑字段需联系系统管理员修改</t>
  </si>
  <si>
    <t>PB-HM-005</t>
  </si>
  <si>
    <t>MES-HM-05</t>
  </si>
  <si>
    <t>修改登录密码</t>
  </si>
  <si>
    <t>依赖系统登录功能（MES-HM-01）</t>
  </si>
  <si>
    <t>1. 原密码错误提示；2. 新密码需 6-12 位字母 + 数字；3. 两次密码不一致提示；4. 不可与近 3 次重复；5. 保存后提示并跳转登录页</t>
  </si>
  <si>
    <t>密码修改后原会话失效，需重新登录</t>
  </si>
  <si>
    <t>PB-SM-001</t>
  </si>
  <si>
    <t>MES-SM-01</t>
  </si>
  <si>
    <t>系统管理（SM）</t>
  </si>
  <si>
    <t>部门信息新增</t>
  </si>
  <si>
    <t>依赖用户管理模块的用户信息维护功能</t>
  </si>
  <si>
    <t>1. 部门名称为空提示；2. 同一父部门下名称唯一；3. 负责人需选择有效用户；4. 保存后部门树显示新增节点；5. 支持按名称搜索</t>
  </si>
  <si>
    <t>部门层级建议不超过 4 层</t>
  </si>
  <si>
    <t>PB-SM-002</t>
  </si>
  <si>
    <t>MES-SM-02</t>
  </si>
  <si>
    <t>部门信息查询</t>
  </si>
  <si>
    <t>依赖 MES-SM-01 部门信息新增功能</t>
  </si>
  <si>
    <t>1. 名称支持模糊匹配；2. 多条件组合筛选；3. 支持排序序号升降序；4. 无结果提示对应信息；5. 支持分页（默认 20 条）</t>
  </si>
  <si>
    <t>PB-SM-003</t>
  </si>
  <si>
    <t>MES-SM-03</t>
  </si>
  <si>
    <t>部门信息修改</t>
  </si>
  <si>
    <t>1. 仅启用状态可修改；2. 同一父部门下名称唯一；3. 负责人需选择有效用户；4. 修改后同步更新；5. 操作有日志记录</t>
  </si>
  <si>
    <t>修改父部门时，子部门及关联用户自动归属新父部门</t>
  </si>
  <si>
    <t>PB-SM-004</t>
  </si>
  <si>
    <t>MES-SM-04</t>
  </si>
  <si>
    <t>部门信息删除</t>
  </si>
  <si>
    <t>1. 删除前弹出确认提示；2. 含子部门需先删除子部门；3. 关联用户时提示影响；4. 删除后不再显示；5. 操作有日志记录</t>
  </si>
  <si>
    <t>建议删除前转移关联用户及子部门</t>
  </si>
  <si>
    <t>PB-SM-005</t>
  </si>
  <si>
    <t>MES-SM-05</t>
  </si>
  <si>
    <t>角色信息新增</t>
  </si>
  <si>
    <t>依赖菜单管理模块的菜单权限配置功能</t>
  </si>
  <si>
    <t>1. 角色名称为空提示；2. 角色名称唯一；3. 勾选菜单权限同步权限字符；4. 保存后列表显示新增角色；5. 支持按名称搜索</t>
  </si>
  <si>
    <t>角色名称建议体现岗位属性</t>
  </si>
  <si>
    <t>PB-SM-006</t>
  </si>
  <si>
    <t>MES-SM-06</t>
  </si>
  <si>
    <t>角色信息查询</t>
  </si>
  <si>
    <t>依赖 MES-SM-05 角色信息新增功能</t>
  </si>
  <si>
    <t>1. 名称支持模糊匹配；2. 按状态筛选；3. 支持按显示顺序排序；4. 无结果提示对应信息；5. 点击名称查看权限详情</t>
  </si>
  <si>
    <t>支持分页（默认 20 条）</t>
  </si>
  <si>
    <t>PB-SM-007</t>
  </si>
  <si>
    <t>MES-SM-07</t>
  </si>
  <si>
    <t>角色信息修改</t>
  </si>
  <si>
    <t>1. 仅启用状态可修改名称 / 权限；2. 角色名称唯一；3. 权限调整后关联用户实时更新；4. 修改后同步更新；5. 操作有日志记录</t>
  </si>
  <si>
    <t>系统默认角色核心权限禁止修改</t>
  </si>
  <si>
    <t>PB-SM-008</t>
  </si>
  <si>
    <t>MES-SM-08</t>
  </si>
  <si>
    <t>角色信息删除</t>
  </si>
  <si>
    <t>1. 删除前弹出关联用户提示；2. 关联用户删除后权限清空；3. 系统默认角色禁止删除；4. 删除后不再显示；5. 操作有日志记录</t>
  </si>
  <si>
    <t>建议先解除角色与用户关联</t>
  </si>
  <si>
    <t>PB-SM-009</t>
  </si>
  <si>
    <t>MES-SM-09</t>
  </si>
  <si>
    <t>用户信息新增</t>
  </si>
  <si>
    <t>依赖 MES-SM-05 角色信息新增、MES-SM-01 部门信息新增功能</t>
  </si>
  <si>
    <t>1. 用户名重复提示；2. 部门、角色需选择有效数据；3. 保存后列表同步显示；4. 操作有日志记录；5. 初始密码 6 位数字，首次登录强制修改</t>
  </si>
  <si>
    <t>建议用户名采用员工工号格式</t>
  </si>
  <si>
    <t>PB-SM-010</t>
  </si>
  <si>
    <t>MES-SM-10</t>
  </si>
  <si>
    <t>用户信息查询</t>
  </si>
  <si>
    <t>依赖 MES-SM-09 用户信息新增功能</t>
  </si>
  <si>
    <t>1. 用户名支持模糊匹配；2. 多条件组合筛选；3. 支持分页（默认 20 条）；4. 无结果提示对应信息；5. 支持按创建时间排序</t>
  </si>
  <si>
    <t>支持导出用户列表（Excel 格式）</t>
  </si>
  <si>
    <t>PB-SM-011</t>
  </si>
  <si>
    <t>MES-SM-11</t>
  </si>
  <si>
    <t>用户信息修改</t>
  </si>
  <si>
    <t>1. 仅启用状态可修改部门 / 角色；2. 部门、角色需选择有效数据；3. 保存后同步更新；4. 操作有日志记录；5. 禁用时弹出确认提示</t>
  </si>
  <si>
    <t>用户名不可修改</t>
  </si>
  <si>
    <t>PB-SM-012</t>
  </si>
  <si>
    <t>MES-SM-12</t>
  </si>
  <si>
    <t>用户信息删除</t>
  </si>
  <si>
    <t>1. 删除前弹出确认提示；2. 仅禁用状态可删除；3. 删除后不再显示；4. 操作有日志记录；5. 关联业务记录的用户保留历史标识</t>
  </si>
  <si>
    <t>建议删除前备份关联业务数据</t>
  </si>
  <si>
    <t>PB-SM-013</t>
  </si>
  <si>
    <t>MES-SM-13</t>
  </si>
  <si>
    <t>菜单信息新增</t>
  </si>
  <si>
    <t>无（独立菜单新增功能）</t>
  </si>
  <si>
    <t>1. 同一上级菜单下名称重复提示；2. 权限标识需有效；3. 保存后同步显示，排序与序号一致；4. 操作有日志记录；5. 支持设置隐藏状态</t>
  </si>
  <si>
    <t>菜单排序序号越小，展示优先级越高</t>
  </si>
  <si>
    <t>PB-SM-014</t>
  </si>
  <si>
    <t>MES-SM-14</t>
  </si>
  <si>
    <t>菜单信息查询</t>
  </si>
  <si>
    <t>依赖 MES-SM-13 菜单信息新增功能</t>
  </si>
  <si>
    <t>1. 名称支持模糊匹配；2. 多条件组合筛选；3. 展示核心字段；4. 无结果提示对应信息；5. 支持按排序序号排序</t>
  </si>
  <si>
    <t>支持展开 / 折叠层级结构</t>
  </si>
  <si>
    <t>PB-SM-015</t>
  </si>
  <si>
    <t>MES-SM-15</t>
  </si>
  <si>
    <t>菜单信息修改</t>
  </si>
  <si>
    <t>1. 同一上级菜单下名称唯一；2. 排序序号修改后同步更新；3. 保存后实际展示一致；4. 操作有日志记录；5. 权限标识修改后关联角色同步更新</t>
  </si>
  <si>
    <t>系统核心菜单上级菜单不可修改</t>
  </si>
  <si>
    <t>PB-SM-016</t>
  </si>
  <si>
    <t>MES-SM-16</t>
  </si>
  <si>
    <t>菜单信息删除</t>
  </si>
  <si>
    <t>1. 删除前弹出确认提示；2. 含子菜单需先删除子菜单；3. 关联权限的菜单禁止删除；4. 删除后不再显示；5. 操作有日志记录</t>
  </si>
  <si>
    <t>建议删除前确认无用户使用</t>
  </si>
  <si>
    <t>PB-SM-017</t>
  </si>
  <si>
    <t>MES-SM-17</t>
  </si>
  <si>
    <t>系统参数新增</t>
  </si>
  <si>
    <t>无（独立系统参数新增功能）</t>
  </si>
  <si>
    <t>1. 参数编码重复提示；2. 参数值与类型匹配；3. 保存后列表同步显示；4. 操作有日志记录；5. 支持启用 / 禁用状态</t>
  </si>
  <si>
    <t>参数编码建议采用 “模块缩写_参数名” 格式</t>
  </si>
  <si>
    <t>PB-SM-018</t>
  </si>
  <si>
    <t>MES-SM-18</t>
  </si>
  <si>
    <t>系统参数查询</t>
  </si>
  <si>
    <t>依赖 MES-SM-17 系统参数新增功能</t>
  </si>
  <si>
    <t>1. 编码 / 名称支持模糊匹配；2. 多条件组合筛选；3. 展示核心字段；4. 无结果提示对应信息；5. 支持按编码排序</t>
  </si>
  <si>
    <t>支持查看参数修改历史</t>
  </si>
  <si>
    <t>PB-SM-019</t>
  </si>
  <si>
    <t>MES-SM-19</t>
  </si>
  <si>
    <t>系统参数修改</t>
  </si>
  <si>
    <t>迭代 2</t>
  </si>
  <si>
    <t>1. 参数值与类型匹配；2. 保存后生效值一致；3. 操作有日志记录；4. 禁用时弹出确认提示；5. 核心参数不可修改</t>
  </si>
  <si>
    <t>部分参数修改后需重启系统</t>
  </si>
  <si>
    <t>PB-SM-020</t>
  </si>
  <si>
    <t>MES-SM-20</t>
  </si>
  <si>
    <t>系统参数删除</t>
  </si>
  <si>
    <t>1. 删除前弹出确认提示；2. 仅禁用状态可删除；3. 核心参数禁止删除；4. 删除后不再显示；5. 操作有日志记录</t>
  </si>
  <si>
    <t>建议删除前备份配置信息</t>
  </si>
  <si>
    <t>PB-SM-021</t>
  </si>
  <si>
    <t>MES-SM-21</t>
  </si>
  <si>
    <t>数据字典新增</t>
  </si>
  <si>
    <t>无（独立数据字典分类新增功能）</t>
  </si>
  <si>
    <t>1. 分类编码重复提示；2. 保存后列表同步显示；3. 操作有日志记录；4. 支持启用 / 禁用状态；5. 分类名称需体现数据类型</t>
  </si>
  <si>
    <t>字典分类编码建议采用 “DICT_分类名” 格式</t>
  </si>
  <si>
    <t>PB-SM-022</t>
  </si>
  <si>
    <t>MES-SM-22</t>
  </si>
  <si>
    <t>数据字典查询</t>
  </si>
  <si>
    <t>依赖 MES-SM-21 数据字典新增功能</t>
  </si>
  <si>
    <t>1. 编码 / 名称支持模糊匹配；2. 按状态筛选；3. 展示核心字段；4. 无结果提示对应信息；5. 支持按编码排序</t>
  </si>
  <si>
    <t>点击分类名称可查看字典数据项</t>
  </si>
  <si>
    <t>PB-SM-023</t>
  </si>
  <si>
    <t>MES-SM-23</t>
  </si>
  <si>
    <t>数据字典修改</t>
  </si>
  <si>
    <t>1. 分类编码不可修改；2. 保存后同步更新；3. 操作有日志记录；4. 禁用时弹出确认提示；5. 名称修改后关联下拉选项同步更新</t>
  </si>
  <si>
    <t>已关联业务数据的分类禁用前需确认影响</t>
  </si>
  <si>
    <t>PB-SM-024</t>
  </si>
  <si>
    <t>MES-SM-24</t>
  </si>
  <si>
    <t>字典数据维护</t>
  </si>
  <si>
    <t>1. 同一分类下数据项编码唯一；2. 排序序号决定展示顺序；3. 新增 / 修改后同步更新；4. 删除前弹出确认提示；5. 操作有日志记录</t>
  </si>
  <si>
    <t>数据项编码建议采用 “分类编码_序号” 格式</t>
  </si>
  <si>
    <t>PB-SM-025</t>
  </si>
  <si>
    <t>MES-SM-25</t>
  </si>
  <si>
    <t>编码规则新增</t>
  </si>
  <si>
    <t>无（独立编码规则新增功能）</t>
  </si>
  <si>
    <t>1. 规则编码重复提示；2. 同一单据类型仅允许一条启用规则；3. 序号长度支持 1-6 位；4. 保存后列表同步显示；5. 操作有日志记录</t>
  </si>
  <si>
    <t>编码格式日期支持多种格式，前缀体现单据类型</t>
  </si>
  <si>
    <t>PB-SM-026</t>
  </si>
  <si>
    <t>MES-SM-26</t>
  </si>
  <si>
    <t>编码规则查询</t>
  </si>
  <si>
    <t>依赖 MES-SM-25 编码规则新增功能</t>
  </si>
  <si>
    <t>1. 编码 / 名称支持模糊匹配；2. 多条件组合筛选；3. 展示核心字段；4. 无结果提示对应信息；5. 支持按单据类型分组展示</t>
  </si>
  <si>
    <t>点击规则名称可查看生成示例</t>
  </si>
  <si>
    <t>PB-SM-027</t>
  </si>
  <si>
    <t>MES-SM-27</t>
  </si>
  <si>
    <t>编码规则修改</t>
  </si>
  <si>
    <t>1. 规则编码不可修改；2. 同一单据类型仅一条启用规则；3. 保存后新单据按新规则生成；4. 操作有日志记录；5. 序号长度修改后新序号补零</t>
  </si>
  <si>
    <t>已生成单据编号不受影响</t>
  </si>
  <si>
    <t>PB-SM-028</t>
  </si>
  <si>
    <t>MES-SM-28</t>
  </si>
  <si>
    <t>编码规则删除</t>
  </si>
  <si>
    <t>1. 删除前弹出确认提示；2. 仅禁用状态可删除；3. 已关联单据的规则禁止删除；4. 删除后不再显示；5. 操作有日志记录</t>
  </si>
  <si>
    <t>建议删除前确认无单据关联</t>
  </si>
  <si>
    <t>PB-BD-001</t>
  </si>
  <si>
    <t>MES-BD-01</t>
  </si>
  <si>
    <t>基础数据（BD）</t>
  </si>
  <si>
    <t>供应商信息新增</t>
  </si>
  <si>
    <t>1. 供应商编码重复提示；2. 名称、编码为必填项；3. 保存后列表同步显示；4. 操作有日志记录；5. 支持启用 / 禁用状态</t>
  </si>
  <si>
    <t>供应商编码建议采用 “SUPP+6 位序号” 格式</t>
  </si>
  <si>
    <t>PB-BD-002</t>
  </si>
  <si>
    <t>MES-BD-02</t>
  </si>
  <si>
    <t>供应商信息查询</t>
  </si>
  <si>
    <t>依赖 MES-BD-01 供应商信息新增功能</t>
  </si>
  <si>
    <t>1. 编码精确匹配，名称模糊匹配；2. 多条件组合筛选；3. 支持分页（默认 20 条）；4. 无结果提示对应信息；5. 支持按新增时间排序</t>
  </si>
  <si>
    <t>支持导出供应商列表（Excel 格式）</t>
  </si>
  <si>
    <t>PB-BD-003</t>
  </si>
  <si>
    <t>MES-BD-03</t>
  </si>
  <si>
    <t>供应商信息修改</t>
  </si>
  <si>
    <t>1. 编码不可修改；2. 保存后同步更新；3. 操作有日志记录；4. 禁用时弹出确认提示；5. 联系电话格式校验</t>
  </si>
  <si>
    <t>已关联未完成采购单的供应商不可禁用</t>
  </si>
  <si>
    <t>PB-BD-004</t>
  </si>
  <si>
    <t>MES-BD-04</t>
  </si>
  <si>
    <t>供应商信息删除</t>
  </si>
  <si>
    <t>1. 删除前弹出确认提示；2. 仅禁用状态可删除；3. 关联历史采购单的保留标识；4. 删除后不再显示；5. 操作有日志记录</t>
  </si>
  <si>
    <t>建议删除前备份关联采购数据</t>
  </si>
  <si>
    <t>PB-BD-005</t>
  </si>
  <si>
    <t>MES-BD-05</t>
  </si>
  <si>
    <t>计量单位新增</t>
  </si>
  <si>
    <t>1. 编码重复提示；2. 名称、编码为必填项；3. 保存后列表同步显示；4. 操作有日志记录；5. 同一计量类型下名称唯一</t>
  </si>
  <si>
    <t>计量单位编码建议采用 “UNIT+4 位序号” 格式</t>
  </si>
  <si>
    <t>PB-BD-006</t>
  </si>
  <si>
    <t>MES-BD-06</t>
  </si>
  <si>
    <t>计量单位查询</t>
  </si>
  <si>
    <t>依赖 MES-BD-05 计量单位新增功能</t>
  </si>
  <si>
    <t>1. 编码精确匹配，名称模糊匹配；2. 按类型筛选；3. 展示核心字段；4. 无结果提示对应信息；5. 支持按编码排序</t>
  </si>
  <si>
    <t>支持导出计量单位列表（Excel 格式）</t>
  </si>
  <si>
    <t>PB-BD-007</t>
  </si>
  <si>
    <t>MES-BD-07</t>
  </si>
  <si>
    <t>计量单位修改</t>
  </si>
  <si>
    <t>1. 编码、类型不可修改；2. 保存后同步更新；3. 操作有日志记录；4. 同一类型下名称唯一；5. 关联物料的计量展示同步更新</t>
  </si>
  <si>
    <t>建议修改前确认关联物料数量</t>
  </si>
  <si>
    <t>PB-BD-008</t>
  </si>
  <si>
    <t>MES-BD-08</t>
  </si>
  <si>
    <t>计量单位删除</t>
  </si>
  <si>
    <t>1. 删除前弹出确认提示；2. 已关联物料的禁止删除；3. 删除后不再显示；4. 操作有日志记录；5. 仅未关联业务数据可删除</t>
  </si>
  <si>
    <t>建议删除前确认无业务关联</t>
  </si>
  <si>
    <t>PB-BD-009</t>
  </si>
  <si>
    <t>MES-BD-09</t>
  </si>
  <si>
    <t>车间信息新增</t>
  </si>
  <si>
    <t>1. 编码重复提示；2. 名称、编码为必填项；3. 负责人需选择有效用户；4. 保存后列表同步显示；5. 操作有日志记录</t>
  </si>
  <si>
    <t>车间编码建议采用 “SHOP+4 位序号” 格式</t>
  </si>
  <si>
    <t>PB-BD-010</t>
  </si>
  <si>
    <t>MES-BD-10</t>
  </si>
  <si>
    <t>车间信息查询</t>
  </si>
  <si>
    <t>依赖 MES-BD-09 车间信息新增功能</t>
  </si>
  <si>
    <t>1. 编码精确匹配，名称模糊匹配；2. 多条件组合筛选；3. 展示核心字段；4. 无结果提示对应信息；5. 支持按新增时间排序</t>
  </si>
  <si>
    <t>点击车间名称可查看关联工位信息</t>
  </si>
  <si>
    <t>PB-BD-011</t>
  </si>
  <si>
    <t>MES-BD-11</t>
  </si>
  <si>
    <t>车间信息修改</t>
  </si>
  <si>
    <t>1. 编码、名称不可修改；2. 负责人需选择有效用户；3. 保存后同步更新；4. 操作有日志记录；5. 禁用时弹出确认提示</t>
  </si>
  <si>
    <t>已关联未完成生产工单的车间不可禁用</t>
  </si>
  <si>
    <t>PB-BD-012</t>
  </si>
  <si>
    <t>MES-BD-12</t>
  </si>
  <si>
    <t>车间信息删除</t>
  </si>
  <si>
    <t>1. 删除前弹出确认提示；2. 仅禁用且无关联工位可删除；3. 关联历史工单的保留标识；4. 删除后不再显示；5. 操作有日志记录</t>
  </si>
  <si>
    <t>建议删除前转移关联工位</t>
  </si>
  <si>
    <t>PB-BD-013</t>
  </si>
  <si>
    <t>MES-BD-13</t>
  </si>
  <si>
    <t>工位信息新增</t>
  </si>
  <si>
    <t>1. 同一车间下编码重复提示；2. 名称、编码、关联车间为必填项；3. 保存后列表同步显示；4. 操作有日志记录；5. 支持启用 / 禁用状态</t>
  </si>
  <si>
    <t>工位编码建议采用 “STATION + 车间编码 + 2 位序号” 格式</t>
  </si>
  <si>
    <t>PB-BD-014</t>
  </si>
  <si>
    <t>MES-BD-14</t>
  </si>
  <si>
    <t>工位信息查询</t>
  </si>
  <si>
    <t>依赖 MES-BD-13 工位信息新增功能</t>
  </si>
  <si>
    <t>1. 编码精确匹配，名称模糊匹配；2. 多条件组合筛选；3. 展示核心字段；4. 无结果提示对应信息；5. 支持按编码排序</t>
  </si>
  <si>
    <t>支持导出工位列表（Excel 格式）</t>
  </si>
  <si>
    <t>PB-BD-015</t>
  </si>
  <si>
    <t>MES-BD-15</t>
  </si>
  <si>
    <t>工位信息修改</t>
  </si>
  <si>
    <t>1. 编码、关联车间不可修改；2. 绑定设备需选择有效设备；3. 保存后同步更新；4. 操作有日志记录；5. 禁用时弹出确认提示</t>
  </si>
  <si>
    <t>已关联未完成生产工序的工位不可禁用</t>
  </si>
  <si>
    <t>PB-BD-016</t>
  </si>
  <si>
    <t>MES-BD-16</t>
  </si>
  <si>
    <t>工位信息删除</t>
  </si>
  <si>
    <t>1. 删除前弹出确认提示；2. 仅禁用且无关联工序可删除；3. 关联历史工序的保留标识；4. 删除后不再显示；5. 操作有日志记录</t>
  </si>
  <si>
    <t>PB-BD-017</t>
  </si>
  <si>
    <t>MES-BD-17</t>
  </si>
  <si>
    <t>物料分类新增</t>
  </si>
  <si>
    <t>无（根分类）；非根分类依赖上级分类的新增功能</t>
  </si>
  <si>
    <t>待开发</t>
  </si>
  <si>
    <t>1. 编码重复提示；2. 同一上级分类下名称唯一；3. 名称、编码为必填项；4. 保存后树形结构同步显示；5. 操作有日志记录</t>
  </si>
  <si>
    <t>分类编码建议采用 “MATC + 层级 + 序号” 格式</t>
  </si>
  <si>
    <t>PB-BD-018</t>
  </si>
  <si>
    <t>MES-BD-18</t>
  </si>
  <si>
    <t>物料分类查询</t>
  </si>
  <si>
    <t>依赖 MES-BD-17 物料分类新增功能</t>
  </si>
  <si>
    <t>1. 编码精确匹配，名称模糊匹配；2. 按上级分类筛选；3. 树形结构展示，支持展开 / 折叠；4. 无结果提示对应信息；5. 支持按排序序号排序</t>
  </si>
  <si>
    <t>点击分类名称可查看物料列表</t>
  </si>
  <si>
    <t>PB-BD-019</t>
  </si>
  <si>
    <t>MES-BD-19</t>
  </si>
  <si>
    <t>物料分类修改</t>
  </si>
  <si>
    <t>1. 编码不可修改；2. 同一上级分类下名称唯一；3. 已关联物料的不可调整上级分类；4. 保存后树形结构同步更新；5. 操作有日志记录</t>
  </si>
  <si>
    <t>排序序号越小，展示越靠前</t>
  </si>
  <si>
    <t>PB-BD-020</t>
  </si>
  <si>
    <t>MES-BD-20</t>
  </si>
  <si>
    <t>物料分类删除</t>
  </si>
  <si>
    <t>1. 删除前弹出确认提示；2. 含子分类或关联物料的禁止删除；3. 删除后树形结构不再显示；4. 操作有日志记录；5. 仅空分类可删除</t>
  </si>
  <si>
    <t>建议删除前确认无关联数据</t>
  </si>
  <si>
    <t>PB-BD-021</t>
  </si>
  <si>
    <t>MES-BD-21</t>
  </si>
  <si>
    <t>物料信息新增</t>
  </si>
  <si>
    <t>依赖 MES-BD-17 物料分类新增、MES-BD-05 计量单位新增功能</t>
  </si>
  <si>
    <t>1. 必填项为空提示；2. 编码唯一；3. 计量单位需有效；4. 保存后列表同步显示；5. 操作有日志记录</t>
  </si>
  <si>
    <t>物料编码建议采用 “分类编码 + 6 位序号” 格式</t>
  </si>
  <si>
    <t>PB-BD-022</t>
  </si>
  <si>
    <t>MES-BD-22</t>
  </si>
  <si>
    <t>物料信息查询</t>
  </si>
  <si>
    <t>依赖 MES-BD-21 物料信息新增功能</t>
  </si>
  <si>
    <t>1. 编码精确匹配，名称 / 规格模糊匹配；2. 多条件组合筛选；3. 分页展示（默认 20 条）；4. 无结果提示对应信息；5. 支持按编码排序</t>
  </si>
  <si>
    <t>支持导出物料列表（Excel 格式）</t>
  </si>
  <si>
    <t>PB-BD-023</t>
  </si>
  <si>
    <t>MES-BD-23</t>
  </si>
  <si>
    <t>物料信息修改</t>
  </si>
  <si>
    <t>1. 编码、名称不可修改；2. 计量单位需有效；3. 保存后同步更新；4. 操作有日志记录；5. 禁用时弹出确认提示</t>
  </si>
  <si>
    <t>已关联业务单据的物料禁用前需确认影响</t>
  </si>
  <si>
    <t>PB-BD-024</t>
  </si>
  <si>
    <t>MES-BD-24</t>
  </si>
  <si>
    <t>物料信息删除</t>
  </si>
  <si>
    <t>1. 删除前弹出确认提示；2. 已关联业务单据的禁止删除；3. 仅禁用状态可删除；4. 删除后不再显示；5. 操作有日志记录</t>
  </si>
  <si>
    <t>建议删除前备份物料信息</t>
  </si>
  <si>
    <t>PB-BD-025</t>
  </si>
  <si>
    <t>MES-BD-25</t>
  </si>
  <si>
    <t>物料 BOM 新增</t>
  </si>
  <si>
    <t>1. 必填项为空提示；2. 同一父物料 + 版本号唯一；3. 用量比例 &gt; 0；4. 父 / 子物料需有效；5. 保存后列表同步显示</t>
  </si>
  <si>
    <t>BOM 版本号建议采用 “V+X.Y.Z” 格式</t>
  </si>
  <si>
    <t>PB-BD-026</t>
  </si>
  <si>
    <t>MES-BD-26</t>
  </si>
  <si>
    <t>物料 BOM 查询</t>
  </si>
  <si>
    <t>依赖 MES-BD-25 物料 BOM 新增功能</t>
  </si>
  <si>
    <t>1. 编码精确匹配，名称模糊匹配；2. 按版本号筛选，默认最新生效版本；3. 展示核心字段；4. 支持层级展开 / 折叠；5. 无结果提示对应信息</t>
  </si>
  <si>
    <t>支持导出 BOM 查询结果（Excel 格式）</t>
  </si>
  <si>
    <t>PB-BD-027</t>
  </si>
  <si>
    <t>MES-BD-27</t>
  </si>
  <si>
    <t>物料 BOM 修改</t>
  </si>
  <si>
    <t>1. 仅启用且未关联工单的可修改；2. 子物料需有效；3. 用量比例 &gt; 0；4. 修改后同步更新，有日志记录；5. 同一父物料 + 版本号唯一</t>
  </si>
  <si>
    <t>已关联工单的 BOM 需作废后新增新版本</t>
  </si>
  <si>
    <t>PB-BD-028</t>
  </si>
  <si>
    <t>MES-BD-28</t>
  </si>
  <si>
    <t>物料 BOM 删除</t>
  </si>
  <si>
    <t>1. 删除前弹出确认提示；2. 已关联工单的禁止删除；3. 仅禁用状态可删除；4. 删除后不再显示，有日志记录；5. 父物料仅存此版本时禁止删除</t>
  </si>
  <si>
    <t>建议删除前备份 BOM 数据</t>
  </si>
  <si>
    <t>PB-BD-029</t>
  </si>
  <si>
    <t>MES-BD-29</t>
  </si>
  <si>
    <t>客户信息新增</t>
  </si>
  <si>
    <t>1. 编码、名称为空提示；2. 编码唯一；3. 联系电话格式校验；4. 保存后列表同步显示；5. 操作有日志记录</t>
  </si>
  <si>
    <t>客户编码建议采用 “CUST+6 位序号” 格式，类型支持自定义</t>
  </si>
  <si>
    <t>PB-BD-030</t>
  </si>
  <si>
    <t>MES-BD-30</t>
  </si>
  <si>
    <t>客户信息查询</t>
  </si>
  <si>
    <t>依赖 MES-BD-29 客户信息新增功能</t>
  </si>
  <si>
    <t>1. 编码精确匹配，名称 / 联系人模糊匹配；2. 多条件组合筛选；3. 分页展示（默认 20 条）；4. 无结果提示对应信息；5. 支持按新增时间排序</t>
  </si>
  <si>
    <t>支持导出客户列表（Excel 格式）</t>
  </si>
  <si>
    <t>PB-BD-031</t>
  </si>
  <si>
    <t>MES-BD-31</t>
  </si>
  <si>
    <t>客户信息修改</t>
  </si>
  <si>
    <t>1. 编码、名称不可修改；2. 联系电话格式校验；3. 保存后同步更新；4. 操作有日志记录；5. 禁用时弹出确认提示</t>
  </si>
  <si>
    <t>已关联未完成销售订单的客户不可禁用</t>
  </si>
  <si>
    <t>PB-BD-032</t>
  </si>
  <si>
    <t>MES-BD-32</t>
  </si>
  <si>
    <t>客户信息删除</t>
  </si>
  <si>
    <t>1. 删除前弹出确认提示；2. 关联订单的标记为 “已注销”；3. 未关联业务的删除后不再显示；4. 仅禁用状态可删除；5. 操作有日志记录</t>
  </si>
  <si>
    <t>“已注销” 客户支持筛选查看及恢复</t>
  </si>
  <si>
    <t>PB-EQ-001</t>
  </si>
  <si>
    <t>MES-EQ-01</t>
  </si>
  <si>
    <t>设备管理（EQ）</t>
  </si>
  <si>
    <t>设备信息新增</t>
  </si>
  <si>
    <t>1. 必填项为空提示；2. 编码唯一；3. 关联工位需有效；4. 保存后列表同步显示；5. 操作有日志记录</t>
  </si>
  <si>
    <t>设备编码建议采用 “EQ+6 位序号” 格式</t>
  </si>
  <si>
    <t>PB-EQ-002</t>
  </si>
  <si>
    <t>MES-EQ-02</t>
  </si>
  <si>
    <t>设备信息查询</t>
  </si>
  <si>
    <t>依赖 MES-EQ-01 设备信息新增功能</t>
  </si>
  <si>
    <t>1. 编码精确匹配，名称模糊匹配；2. 多条件组合筛选；3. 分页展示（默认 20 条）；4. 无结果提示对应信息；5. 支持按编码排序</t>
  </si>
  <si>
    <t>支持导出设备列表（Excel 格式）</t>
  </si>
  <si>
    <t>PB-EQ-003</t>
  </si>
  <si>
    <t>MES-EQ-03</t>
  </si>
  <si>
    <t>设备信息修改</t>
  </si>
  <si>
    <t>1. 编码、名称不可修改；2. 关联工位需有效；3. 报废时弹出确认提示；4. 保存后同步更新；5. 操作有日志记录</t>
  </si>
  <si>
    <t>已关联巡检计划的设备报废前需终止计划</t>
  </si>
  <si>
    <t>PB-EQ-004</t>
  </si>
  <si>
    <t>MES-EQ-04</t>
  </si>
  <si>
    <t>设备信息删除</t>
  </si>
  <si>
    <t>1. 删除前弹出确认提示；2. 已关联业务记录的禁止删除；3. 仅报废状态可删除；4. 删除后不再显示；5. 操作有日志记录</t>
  </si>
  <si>
    <t>建议删除前备份设备信息</t>
  </si>
  <si>
    <t>PB-EQ-005</t>
  </si>
  <si>
    <t>MES-EQ-05</t>
  </si>
  <si>
    <t>设备巡检计划新增</t>
  </si>
  <si>
    <t>1. 必填项为空提示；2. 同一设备 + 频率唯一；3. 巡检时间格式正确；4. 至少选择 1 个点检项目；5. 保存后列表同步显示</t>
  </si>
  <si>
    <t>支持按设备批量创建计划</t>
  </si>
  <si>
    <t>PB-EQ-006</t>
  </si>
  <si>
    <t>MES-EQ-06</t>
  </si>
  <si>
    <t>设备巡检计划查询</t>
  </si>
  <si>
    <t>依赖 MES-EQ-05 设备巡检计划新增功能</t>
  </si>
  <si>
    <t>1. 名称 / 设备名称模糊匹配；2. 多条件组合筛选；3. 点击名称查看详情及执行记录；4. 无结果提示对应信息；5. 支持按创建时间排序</t>
  </si>
  <si>
    <t>支持导出计划及执行记录（Excel 格式）</t>
  </si>
  <si>
    <t>PB-EQ-007</t>
  </si>
  <si>
    <t>MES-EQ-07</t>
  </si>
  <si>
    <t>设备巡检计划修改</t>
  </si>
  <si>
    <t>1. 已执行的计划禁止修改；2. 频率修改后执行周期同步更新；3. 点检项目至少保留 1 项；4. 保存后同步更新；5. 操作有日志记录</t>
  </si>
  <si>
    <t>已启用的计划修改后需重新确认执行时间</t>
  </si>
  <si>
    <t>PB-EQ-008</t>
  </si>
  <si>
    <t>MES-EQ-08</t>
  </si>
  <si>
    <t>设备巡检计划删除</t>
  </si>
  <si>
    <t>1. 删除前弹出确认提示；2. 已执行的计划禁止删除；3. 仅未执行 / 禁用状态可删除；4. 删除后不再显示；5. 操作有日志记录</t>
  </si>
  <si>
    <t>删除不影响已生成的执行记录</t>
  </si>
  <si>
    <t>PB-WH-001</t>
  </si>
  <si>
    <t>MES-WH-01</t>
  </si>
  <si>
    <t>仓库管理（WH）</t>
  </si>
  <si>
    <t>仓库信息新增</t>
  </si>
  <si>
    <t>1. 必填项为空提示；2. 编码唯一；3. 负责人需有效；4. 保存后列表同步显示；5. 操作有日志记录</t>
  </si>
  <si>
    <t>仓库编码建议采用 “WH + 类型缩写 + 4 位序号” 格式</t>
  </si>
  <si>
    <t>PB-WH-002</t>
  </si>
  <si>
    <t>MES-WH-02</t>
  </si>
  <si>
    <t>仓库信息查询</t>
  </si>
  <si>
    <t>依赖 MES-WH-01 仓库信息新增功能</t>
  </si>
  <si>
    <t>支持导出仓库列表（Excel 格式）</t>
  </si>
  <si>
    <t>PB-WH-003</t>
  </si>
  <si>
    <t>MES-WH-03</t>
  </si>
  <si>
    <t>仓库信息修改</t>
  </si>
  <si>
    <t>1. 编码、名称不可修改；2. 负责人需有效；3. 禁用时弹出确认提示；4. 保存后同步更新；5. 操作有日志记录</t>
  </si>
  <si>
    <t>已关联库存的仓库禁用前需转移库存</t>
  </si>
  <si>
    <t>PB-WH-004</t>
  </si>
  <si>
    <t>MES-WH-04</t>
  </si>
  <si>
    <t>仓库信息删除</t>
  </si>
  <si>
    <t>1. 删除前弹出确认提示；2. 已关联库存的禁止删除；3. 仅禁用状态可删除；4. 删除后不再显示；5. 操作有日志记录</t>
  </si>
  <si>
    <t>建议删除前备份关联历史数据</t>
  </si>
  <si>
    <t>PB-WH-005</t>
  </si>
  <si>
    <t>MES-WH-05</t>
  </si>
  <si>
    <t>即时库存查询</t>
  </si>
  <si>
    <t>依赖 MES-BD-21 物料信息新增、MES-WH-01 仓库信息新增功能</t>
  </si>
  <si>
    <t>1. 编码精确匹配，名称模糊匹配；2. 按仓库筛选；3. 展示核心字段；4. 数据同步延迟≤5 秒；5. 无结果提示对应信息</t>
  </si>
  <si>
    <t>支持按实时数量排序</t>
  </si>
  <si>
    <t>PB-WH-006</t>
  </si>
  <si>
    <t>MES-WH-06</t>
  </si>
  <si>
    <t>库存数据导出</t>
  </si>
  <si>
    <t>依赖 MES-WH-05 即时库存查询功能</t>
  </si>
  <si>
    <t>1. 支持多条件筛选导出；2. 导出字段含核心信息；3. 文件名格式规范；4. 单次导出≤1000 条；5. 操作有日志记录</t>
  </si>
  <si>
    <t>导出文件可直接用于线下盘点核对</t>
  </si>
  <si>
    <t>PB-WH-007</t>
  </si>
  <si>
    <t>MES-WH-07</t>
  </si>
  <si>
    <t>生产领料单新增</t>
  </si>
  <si>
    <t>依赖 MES-PM-10 生产工单新增、MES-WH-01 仓库信息新增、MES-BD-21 物料信息新增功能</t>
  </si>
  <si>
    <t>1. 必填项为空提示；2. 领用数量≤库存；3. 领料单号自动生成且唯一；4. 保存后状态为 “草稿”；5. 操作有日志记录</t>
  </si>
  <si>
    <t>支持关联工单自动带出物料及建议用量</t>
  </si>
  <si>
    <t>PB-WH-008</t>
  </si>
  <si>
    <t>MES-WH-08</t>
  </si>
  <si>
    <t>生产领料单查询</t>
  </si>
  <si>
    <t>依赖 MES-WH-07 生产领料单新增功能</t>
  </si>
  <si>
    <t>1. 单号 / 关联工单模糊匹配；2. 多条件组合筛选；3. 分页展示（默认 20 条）；4. 点击单号查看明细；5. 无结果提示对应信息</t>
  </si>
  <si>
    <t>支持导出领料单列表（Excel 格式）</t>
  </si>
  <si>
    <t>PB-WH-009</t>
  </si>
  <si>
    <t>MES-WH-09</t>
  </si>
  <si>
    <t>生产领料单修改</t>
  </si>
  <si>
    <t>1. 仅草稿状态可修改；2. 领用数量≤库存；3. 保存后同步更新；4. 操作有日志记录；5. 关联工单修改后校验有效性</t>
  </si>
  <si>
    <t>已提交审核的需先撤回</t>
  </si>
  <si>
    <t>PB-WH-010</t>
  </si>
  <si>
    <t>MES-WH-10</t>
  </si>
  <si>
    <t>生产领料单删除</t>
  </si>
  <si>
    <t>1. 删除前弹出确认提示；2. 仅草稿状态可删除；3. 删除后不再显示；4. 操作有日志记录；5. 不影响实际库存</t>
  </si>
  <si>
    <t>建议删除前确认无需使用</t>
  </si>
  <si>
    <t>PB-WH-011</t>
  </si>
  <si>
    <t>MES-WH-11</t>
  </si>
  <si>
    <t>生产领料单审核</t>
  </si>
  <si>
    <t>依赖 MES-WH-07 生产领料单新增、MES-WH-05 即时库存查询功能</t>
  </si>
  <si>
    <t>1. 仅待审核状态可审核；2. 审核通过后状态更新并扣减库存；3. 审核不通过需填写原因；4. 操作有日志记录；5. 审核通过后不可修改 / 删除</t>
  </si>
  <si>
    <t>审核通过后支持打印出库凭证</t>
  </si>
  <si>
    <t>PB-SL-001</t>
  </si>
  <si>
    <t>MES-SL-01</t>
  </si>
  <si>
    <t>销售管理（SL）</t>
  </si>
  <si>
    <t>销售订单新增</t>
  </si>
  <si>
    <t>依赖 MES-BD-29 客户信息新增、MES-BD-21 物料信息新增功能</t>
  </si>
  <si>
    <t>1. 必填项为空提示；2. 客户、产品需有效；3. 订单号自动生成且唯一；4. 提交后状态为 “待排产”，草稿状态为 “草稿”；5. 操作有日志记录</t>
  </si>
  <si>
    <t>产品单价支持自动关联基准价或手动调整</t>
  </si>
  <si>
    <t>PB-SL-002</t>
  </si>
  <si>
    <t>MES-SL-02</t>
  </si>
  <si>
    <t>销售订单查询</t>
  </si>
  <si>
    <t>依赖 MES-SL-01 销售订单新增功能</t>
  </si>
  <si>
    <t>1. 订单号精确匹配，客户名称模糊匹配；2. 多条件组合筛选；3. 分页展示（默认 20 条）；4. 点击订单号查看明细；5. 无结果提示对应信息</t>
  </si>
  <si>
    <t>支持按下单时间排序</t>
  </si>
  <si>
    <t>PB-SL-003</t>
  </si>
  <si>
    <t>MES-SL-03</t>
  </si>
  <si>
    <t>销售订单修改</t>
  </si>
  <si>
    <t>1. 已排产 / 已出库的禁止修改；2. 数量≥1；3. 保存后同步更新；4. 操作有日志记录；5. 客户需有效</t>
  </si>
  <si>
    <t>已提交的 “待排产” 订单修改后需重新确认状态</t>
  </si>
  <si>
    <t>PB-SL-004</t>
  </si>
  <si>
    <t>MES-SL-04</t>
  </si>
  <si>
    <t>销售订单删除</t>
  </si>
  <si>
    <t>1. 删除前弹出确认提示；2. 非草稿状态禁止删除；3. 删除后不再显示；4. 操作有日志记录；5. 已关联排产的需先取消关联</t>
  </si>
  <si>
    <t>PB-SL-005</t>
  </si>
  <si>
    <t>MES-SL-05</t>
  </si>
  <si>
    <t>销售订单导出</t>
  </si>
  <si>
    <t>依赖 MES-SL-02 销售订单查询功能</t>
  </si>
  <si>
    <t>1. 支持多条件筛选导出；2. 导出字段含核心信息；3. 文件名格式规范；4. 单次导出≤2000 条；5. 操作有日志记录</t>
  </si>
  <si>
    <t>导出文件可直接用于客户对账</t>
  </si>
  <si>
    <t>PB-SL-006</t>
  </si>
  <si>
    <t>MES-SL-06</t>
  </si>
  <si>
    <t>销售订单工序排产</t>
  </si>
  <si>
    <t>依赖 MES-SL-01 销售订单新增、MES-BD-25 物料 BOM 新增、MES-BD-13 工位信息新增功能</t>
  </si>
  <si>
    <t>1. 仅待排产状态可排产；2. 需关联有效 BOM；3. 工序需选择有效工位；4. 排产后订单状态更新为 “已排产” 并生成工单；5. 操作有日志记录</t>
  </si>
  <si>
    <t>支持复制同类订单排产模板</t>
  </si>
  <si>
    <t>PB-SL-007</t>
  </si>
  <si>
    <t>MES-SL-07</t>
  </si>
  <si>
    <t>销售出库操作</t>
  </si>
  <si>
    <t>依赖 MES-SL-01 销售订单新增、MES-WH-01 仓库信息新增、MES-WH-05 即时库存查询功能</t>
  </si>
  <si>
    <t>1. 仅已排产且库存≥订单数量可出库；2. 出库数量≤订单数量及库存；3. 提交后状态更新并扣减库存；4. 物流单号必填；5. 操作有日志记录</t>
  </si>
  <si>
    <t>支持打印出库单作为发货凭证</t>
  </si>
  <si>
    <t>PB-SL-008</t>
  </si>
  <si>
    <t>MES-SL-08</t>
  </si>
  <si>
    <t>销售出库单新增</t>
  </si>
  <si>
    <t>依赖 MES-BD-29 客户信息新增、MES-WH-01 仓库信息新增、MES-BD-21 物料信息新增功能</t>
  </si>
  <si>
    <t>1. 必填项为空提示；2. 仅支持成品物料出库；3. 出库数量≤库存；4. 出库单号自动生成且唯一；5. 操作有日志记录</t>
  </si>
  <si>
    <t>无订单出库需填写出库原因</t>
  </si>
  <si>
    <t>PB-SL-009</t>
  </si>
  <si>
    <t>MES-SL-09</t>
  </si>
  <si>
    <t>销售出库单查询</t>
  </si>
  <si>
    <t>依赖 MES-SL-08 销售出库单新增功能</t>
  </si>
  <si>
    <t>1. 单号精确匹配，客户名称 / 物流单号模糊匹配；2. 多条件组合筛选；3. 分页展示（默认 20 条）；4. 点击单号查看明细；5. 无结果提示对应信息</t>
  </si>
  <si>
    <t>支持按出库时间排序</t>
  </si>
  <si>
    <t>PB-SL-010</t>
  </si>
  <si>
    <t>MES-SL-10</t>
  </si>
  <si>
    <t>销售出库单修改</t>
  </si>
  <si>
    <t>1. 仅草稿状态可修改；2. 出库数量≤库存；3. 保存后同步更新；4. 操作有日志记录；5. 客户需有效</t>
  </si>
  <si>
    <t>已提交的需先撤回</t>
  </si>
  <si>
    <t>PB-SL-011</t>
  </si>
  <si>
    <t>MES-SL-11</t>
  </si>
  <si>
    <t>销售出库单删除</t>
  </si>
  <si>
    <t>1. 删除前弹出确认提示；2. 非草稿状态禁止删除；3. 删除后不再显示；4. 操作有日志记录；5. 不影响实际库存</t>
  </si>
  <si>
    <t>PB-PO-001</t>
  </si>
  <si>
    <t>MES-PO-01</t>
  </si>
  <si>
    <t>采购管理（PO）</t>
  </si>
  <si>
    <t>采购订单新增</t>
  </si>
  <si>
    <t>依赖 MES-BD-01 供应商信息新增、MES-BD-21 物料信息新增功能</t>
  </si>
  <si>
    <t>1. 必填项为空提示；2. 供应商、物料需有效；3. 订单号自动生成且唯一；4. 提交后状态为 “待审核”，草稿状态为 “草稿”；5. 操作有日志记录</t>
  </si>
  <si>
    <t>物料单价支持自动关联报价或手动调整</t>
  </si>
  <si>
    <t>PB-PO-002</t>
  </si>
  <si>
    <t>MES-PO-02</t>
  </si>
  <si>
    <t>采购订单查询</t>
  </si>
  <si>
    <t>依赖 MES-PO-01 采购订单新增功能</t>
  </si>
  <si>
    <t>1. 订单号精确匹配，供应商名称模糊匹配；2. 多条件组合筛选；3. 分页展示（默认 20 条）；4. 点击订单号查看明细；5. 无结果提示对应信息</t>
  </si>
  <si>
    <t>PB-PO-003</t>
  </si>
  <si>
    <t>MES-PO-03</t>
  </si>
  <si>
    <t>采购订单修改</t>
  </si>
  <si>
    <t>1. 已审核 / 已入库的禁止修改；2. 数量≥1；3. 保存后同步更新；4. 操作有日志记录；5. 供应商需有效</t>
  </si>
  <si>
    <t>已提交的 “待审核” 订单修改后需重新提交审核</t>
  </si>
  <si>
    <t>PB-PO-004</t>
  </si>
  <si>
    <t>MES-PO-04</t>
  </si>
  <si>
    <t>采购订单删除</t>
  </si>
  <si>
    <t>1. 删除前弹出确认提示；2. 非草稿状态禁止删除；3. 删除后不再显示；4. 操作有日志记录；5. 已关联报价的需先取消关联</t>
  </si>
  <si>
    <t>PB-PO-005</t>
  </si>
  <si>
    <t>MES-PO-05</t>
  </si>
  <si>
    <t>采购订单审核</t>
  </si>
  <si>
    <t>1. 仅待审核状态可审核；2. 审核通过后状态更新为 “已审核”；3. 审核不通过需填写原因；4. 操作有日志记录；5. 审核通过后不可修改 / 删除</t>
  </si>
  <si>
    <t>支持打印订单作为下单凭证</t>
  </si>
  <si>
    <t>PB-PO-006</t>
  </si>
  <si>
    <t>MES-PO-06</t>
  </si>
  <si>
    <t>采购入库操作</t>
  </si>
  <si>
    <t>依赖 MES-PO-05 采购订单审核、MES-WH-01 仓库信息新增、MES-WH-05 即时库存查询功能</t>
  </si>
  <si>
    <t>1. 仅已审核状态可入库；2. 入库数量≤订单数量；3. 提交后状态更新并增加库存；4. 入库仓库需有效；5. 操作有日志记录</t>
  </si>
  <si>
    <t>支持打印入库单作为记账凭证</t>
  </si>
  <si>
    <t>PB-PO-007</t>
  </si>
  <si>
    <t>MES-PO-07</t>
  </si>
  <si>
    <t>采购入库单新增</t>
  </si>
  <si>
    <t>依赖 MES-BD-01 供应商信息新增、MES-WH-01 仓库信息新增、MES-BD-21 物料信息新增功能</t>
  </si>
  <si>
    <t>1. 必填项为空提示；2. 物料需有效；3. 入库单号自动生成且唯一；4. 保存后状态为 “草稿”；5. 操作有日志记录</t>
  </si>
  <si>
    <t>入库原因支持预设选项</t>
  </si>
  <si>
    <t>PB-PO-008</t>
  </si>
  <si>
    <t>MES-PO-08</t>
  </si>
  <si>
    <t>采购入库单查询</t>
  </si>
  <si>
    <t>依赖 MES-PO-07 采购入库单新增功能</t>
  </si>
  <si>
    <t>1. 单号精确匹配，供应商名称模糊匹配；2. 多条件组合筛选；3. 分页展示（默认 20 条）；4. 点击单号查看明细；5. 无结果提示对应信息</t>
  </si>
  <si>
    <t>支持按入库时间排序</t>
  </si>
  <si>
    <t>PB-PO-009</t>
  </si>
  <si>
    <t>MES-PO-09</t>
  </si>
  <si>
    <t>采购入库单修改</t>
  </si>
  <si>
    <t>1. 仅草稿状态可修改；2. 数量≥1；3. 保存后同步更新；4. 操作有日志记录；5. 供应商需有效</t>
  </si>
  <si>
    <t>PB-PO-010</t>
  </si>
  <si>
    <t>MES-PO-10</t>
  </si>
  <si>
    <t>采购入库单删除</t>
  </si>
  <si>
    <t>PB-PM-001</t>
  </si>
  <si>
    <t>MES-PM-01</t>
  </si>
  <si>
    <t>生产管理（PM）</t>
  </si>
  <si>
    <t>生产工序新增</t>
  </si>
  <si>
    <t>1. 必填项为空提示；2. 编码唯一；3. 标准工时≥1；4. 保存后列表同步显示；5. 操作有日志记录</t>
  </si>
  <si>
    <t>工序编码建议采用 “PROC+4 位序号” 格式</t>
  </si>
  <si>
    <t>PB-PM-002</t>
  </si>
  <si>
    <t>MES-PM-02</t>
  </si>
  <si>
    <t>生产工序查询</t>
  </si>
  <si>
    <t>依赖 MES-PM-01 生产工序新增功能</t>
  </si>
  <si>
    <t>1. 编码精确匹配，名称模糊匹配；2. 按类型筛选；3. 分页展示（默认 20 条）；4. 无结果提示对应信息；5. 支持按标准工时排序</t>
  </si>
  <si>
    <t>支持导出工序列表（Excel 格式）</t>
  </si>
  <si>
    <t>PB-PM-003</t>
  </si>
  <si>
    <t>MES-PM-03</t>
  </si>
  <si>
    <t>生产工序修改</t>
  </si>
  <si>
    <t>1. 编码、名称不可修改；2. 标准工时≥1；3. 关联路线的同步更新参数；4. 保存后同步更新；5. 操作有日志记录</t>
  </si>
  <si>
    <t>已关联工单的工序修改前需确认影响</t>
  </si>
  <si>
    <t>PB-PM-004</t>
  </si>
  <si>
    <t>MES-PM-04</t>
  </si>
  <si>
    <t>生产工序删除</t>
  </si>
  <si>
    <t>1. 删除前弹出确认提示；2. 已关联路线的禁止删除；3. 删除后不再显示；4. 操作有日志记录；5. 仅未关联业务数据可删除</t>
  </si>
  <si>
    <t>PB-PM-005</t>
  </si>
  <si>
    <t>MES-PM-05</t>
  </si>
  <si>
    <t>工序路线新增</t>
  </si>
  <si>
    <t>依赖 MES-PM-01 生产工序新增、MES-BD-21 物料信息新增、MES-BD-13 工位信息新增功能</t>
  </si>
  <si>
    <t>1. 必填项为空提示；2. 路线编码唯一；3. 工序节点至少 1 道且顺序连续；4. 关联工位需有效；5. 保存后列表同步显示</t>
  </si>
  <si>
    <t>路线编码建议采用 “ROUTE + 产品编码 + 2 位序号” 格式</t>
  </si>
  <si>
    <t>PB-PM-006</t>
  </si>
  <si>
    <t>MES-PM-06</t>
  </si>
  <si>
    <t>工序路线查询</t>
  </si>
  <si>
    <t>依赖 MES-PM-05 工序路线新增功能</t>
  </si>
  <si>
    <t>1. 编码精确匹配，产品名称模糊匹配；2. 点击编码查看工序节点；3. 展示核心字段；4. 无结果提示对应信息；5. 支持按产品名称排序</t>
  </si>
  <si>
    <t>支持导出工序节点详情（Excel 格式）</t>
  </si>
  <si>
    <t>PB-PM-007</t>
  </si>
  <si>
    <t>MES-PM-07</t>
  </si>
  <si>
    <t>工序路线修改</t>
  </si>
  <si>
    <t>1. 编码、产品不可修改；2. 工序顺序需连续；3. 关联未完成工单的提示影响；4. 保存后同步更新；5. 操作有日志记录</t>
  </si>
  <si>
    <t>已关联完成工单的建议新增新版本</t>
  </si>
  <si>
    <t>PB-PM-008</t>
  </si>
  <si>
    <t>MES-PM-08</t>
  </si>
  <si>
    <t>工序路线删除</t>
  </si>
  <si>
    <t>1. 删除前弹出确认提示；2. 已关联工单的禁止删除；3. 删除后不再显示；4. 操作有日志记录；5. 仅未关联业务数据可删除</t>
  </si>
  <si>
    <t>建议删除前备份工序节点信息</t>
  </si>
  <si>
    <t>PB-PM-009</t>
  </si>
  <si>
    <t>MES-PM-09</t>
  </si>
  <si>
    <t>工位与工序绑定</t>
  </si>
  <si>
    <t>依赖 MES-PM-01 生产工序新增、MES-BD-13 工位信息新增功能</t>
  </si>
  <si>
    <t>1. 工序、工位为空提示；2. 工序、工位需有效；3. 支持多对多绑定；4. 保存后工序详情同步显示；5. 操作有日志记录</t>
  </si>
  <si>
    <t>支持批量绑定操作</t>
  </si>
  <si>
    <t>PB-PM-010</t>
  </si>
  <si>
    <t>MES-PM-10</t>
  </si>
  <si>
    <t>生产工单新增</t>
  </si>
  <si>
    <t>依赖 MES-SL-01 销售订单新增、MES-PM-05 工序路线新增、MES-BD-09 车间信息新增功能</t>
  </si>
  <si>
    <t>1. 必填项为空提示；2. 工单编号自动生成且唯一；3. 关联订单时数量≤订单数量；4. 保存后状态为 “待排产”；5. 操作有日志记录</t>
  </si>
  <si>
    <t>系统排产生成的工单自动关联路线及计划时间</t>
  </si>
  <si>
    <t>PB-PM-011</t>
  </si>
  <si>
    <t>MES-PM-11</t>
  </si>
  <si>
    <t>生产工单查询</t>
  </si>
  <si>
    <t>依赖 MES-PM-10 生产工单新增功能</t>
  </si>
  <si>
    <t>1. 单号精确匹配，产品名称模糊匹配；2. 多条件组合筛选；3. 分页展示（默认 20 条）；4. 点击单号查看进度；5. 无结果提示对应信息</t>
  </si>
  <si>
    <t>支持按计划开始时间排序</t>
  </si>
  <si>
    <t>PB-PM-012</t>
  </si>
  <si>
    <t>MES-PM-12</t>
  </si>
  <si>
    <t>生产工单修改</t>
  </si>
  <si>
    <t>1. 已启动生产的禁止修改；2. 关联订单的数量≤订单数量；3. 保存后同步更新；4. 操作有日志记录；5. 车间需有效</t>
  </si>
  <si>
    <t>已提交排产的需先撤回</t>
  </si>
  <si>
    <t>PB-PM-013</t>
  </si>
  <si>
    <t>MES-PM-13</t>
  </si>
  <si>
    <t>生产工单删除</t>
  </si>
  <si>
    <t>1. 删除前弹出确认提示；2. 非已关闭状态禁止删除；3. 删除后不再显示；4. 操作有日志记录；5. 关联历史记录的保留标识</t>
  </si>
  <si>
    <t>建议删除前备份报工、入库记录</t>
  </si>
  <si>
    <t>PB-PM-014</t>
  </si>
  <si>
    <t>MES-PM-14</t>
  </si>
  <si>
    <t>开始工单排产</t>
  </si>
  <si>
    <t>1. 仅待排产状态可操作；2. 操作前确认资源就绪；3. 操作后状态更新为 “生产中” 并生成任务节点；4. 操作有日志记录；5. 支持关联工位分配</t>
  </si>
  <si>
    <t>建议同步通知操作工</t>
  </si>
  <si>
    <t>PB-PM-015</t>
  </si>
  <si>
    <t>MES-PM-15</t>
  </si>
  <si>
    <t>工单暂停</t>
  </si>
  <si>
    <t>依赖 MES-PM-14 开始工单排产功能</t>
  </si>
  <si>
    <t>1. 仅生产中状态可操作；2. 暂停原因必填（支持预设选项）；3. 操作后状态更新为 “暂停”；4. 操作有日志记录；5. 支持恢复生产</t>
  </si>
  <si>
    <t>暂停期间建议更新计划结束时间</t>
  </si>
  <si>
    <t>PB-PM-016</t>
  </si>
  <si>
    <t>MES-PM-16</t>
  </si>
  <si>
    <t>工单强制关闭</t>
  </si>
  <si>
    <t>1. 仅生产中 / 暂停状态可操作；2. 关闭原因必填（支持预设选项）；3. 操作后状态更新为 “已关闭”；4. 操作有日志记录；5. 不可恢复生产</t>
  </si>
  <si>
    <t>关闭前需确认产量及物料消耗</t>
  </si>
  <si>
    <t>PB-PM-017</t>
  </si>
  <si>
    <t>MES-PM-17</t>
  </si>
  <si>
    <t>查看工单报工记录</t>
  </si>
  <si>
    <t>依赖 MES-PM-18 生产报工功能</t>
  </si>
  <si>
    <t>1. 加载记录≤1 秒；2. 展示核心字段；3. 支持按报工时间排序；4. 点击单号查看质检记录；5. 无记录提示对应信息</t>
  </si>
  <si>
    <t>支持导出报工记录（Excel 格式）</t>
  </si>
  <si>
    <t>PB-PM-018</t>
  </si>
  <si>
    <t>MES-PM-18</t>
  </si>
  <si>
    <t>生产报工</t>
  </si>
  <si>
    <t>1. 必填项为空提示；2. 仅生产中工单的未完成工序可报工；3. 报工单号自动生成且唯一；4. 提交后工序进度同步更新；5. 操作有日志记录</t>
  </si>
  <si>
    <t>不合格产量需填写原因（支持预设选项）</t>
  </si>
  <si>
    <t>PB-PM-019</t>
  </si>
  <si>
    <t>MES-PM-19</t>
  </si>
  <si>
    <t>报工单查询</t>
  </si>
  <si>
    <t>1. 报工单号精确匹配，工单编号模糊匹配；2. 多条件组合筛选；3. 分页展示（默认 20 条）；4. 点击单号查看明细；5. 无结果提示对应信息</t>
  </si>
  <si>
    <t>支持按报工时间排序</t>
  </si>
  <si>
    <t>PB-PM-020</t>
  </si>
  <si>
    <t>MES-PM-20</t>
  </si>
  <si>
    <t>报工抽检</t>
  </si>
  <si>
    <t>1. 必填项为空提示；2. 抽检数量≤报工合格产量；3. 提交后关联显示质检记录；4. 不合格需填写整改建议；5. 操作有日志记录</t>
  </si>
  <si>
    <t>支持关联不合格品处理方式</t>
  </si>
  <si>
    <t>PB-PM-021</t>
  </si>
  <si>
    <t>MES-PM-21</t>
  </si>
  <si>
    <t>查看质检单</t>
  </si>
  <si>
    <t>依赖 MES-PM-20 报工抽检功能</t>
  </si>
  <si>
    <t>1. 加载记录≤1 秒；2. 展示核心字段；3. 支持查看操作日志；4. 无记录提示对应信息；5. 支持导出质检记录</t>
  </si>
  <si>
    <t>质检记录与报工单一一关联，不可单独删除</t>
  </si>
  <si>
    <t>PB-PM-022</t>
  </si>
  <si>
    <t>MES-PM-22</t>
  </si>
  <si>
    <t>报工单删除</t>
  </si>
  <si>
    <t>1. 删除前弹出确认提示，删除后工单进度回退；2. 已关联质检记录的禁止删除；3. 删除后不再显示，操作有日志记录；4. 仅 “未质检” 状态可删除；5. 操作日志记录删除信息</t>
  </si>
  <si>
    <t>建议删除前确认报工为误操作</t>
  </si>
  <si>
    <t>PB-PM-023</t>
  </si>
  <si>
    <t>MES-PM-23</t>
  </si>
  <si>
    <t>报工单导出</t>
  </si>
  <si>
    <t>依赖 MES-PM-19 报工单查询功能</t>
  </si>
  <si>
    <t>1. 支持按工单、工序、时间范围多条件筛选导出；2. 导出文件包含核心报工字段；3. 文件名格式规范（报工数据_导出日期_操作人.xlsx）；4. 单次导出≤2000 条；5. 导出操作有日志记录</t>
  </si>
  <si>
    <t>导出文件可直接用于生产产量报表制作</t>
  </si>
  <si>
    <t>PB-PM-024</t>
  </si>
  <si>
    <t>MES-PM-24</t>
  </si>
  <si>
    <t>完工入库单新增</t>
  </si>
  <si>
    <t>依赖 MES-PM-18 生产报工、MES-WH-01 仓库信息新增功能</t>
  </si>
  <si>
    <t>1. 生产工单、入库仓库、入库数量为空提示；2. 入库数量≤报工合格总产量；3. 入库单号自动生成且唯一；4. 提交后自动增加成品库存；5. 操作有日志记录</t>
  </si>
  <si>
    <t>系统可根据工单报工完成状态自动生成入库单草稿</t>
  </si>
  <si>
    <t>PB-PM-025</t>
  </si>
  <si>
    <t>MES-PM-25</t>
  </si>
  <si>
    <t>完工入库单查询</t>
  </si>
  <si>
    <t>依赖 MES-PM-24 完工入库单新增功能</t>
  </si>
  <si>
    <t>1. 入库单号精确匹配，工单编号模糊匹配，响应≤1 秒；2. 支持按仓库、时间范围筛选；3. 分页展示（默认 20 条），展示核心字段；4. 点击单号查看详情及关联报工记录；5. 无结果提示对应信息</t>
  </si>
  <si>
    <t>支持按 “入库时间” 升序 / 降序排序</t>
  </si>
  <si>
    <t>PB-PM-026</t>
  </si>
  <si>
    <t>MES-PM-26</t>
  </si>
  <si>
    <t>完工入库单修改</t>
  </si>
  <si>
    <t>1. 仅 “草稿” 状态可修改，其他状态提示不可修改；2. 入库数量修改后≤报工合格总产量；3. 保存后同步更新，操作有日志记录；4. 入库仓库需选择有效仓库；5. 已提交的需先撤回再修改</t>
  </si>
  <si>
    <t>入库仓库修改需选择系统内有效仓库</t>
  </si>
  <si>
    <t>PB-PM-027</t>
  </si>
  <si>
    <t>MES-PM-27</t>
  </si>
  <si>
    <t>完工入库单删除</t>
  </si>
  <si>
    <t>1. 删除前弹出确认提示；2. 非 “草稿” 状态禁止删除；3. 删除后不再显示，操作有日志记录；4. 草稿状态删除不影响实际库存；5. 操作日志记录删除的入库单信息</t>
  </si>
  <si>
    <t>建议删除前确认入库单无需再使用</t>
  </si>
  <si>
    <t>PB-PM-028</t>
  </si>
  <si>
    <t>MES-PM-28</t>
  </si>
  <si>
    <t>工序执行情况表查看</t>
  </si>
  <si>
    <t>依赖 MES-PM-14 开始工单排产、MES-PM-18 生产报工功能</t>
  </si>
  <si>
    <t>1. 时间范围、生产车间为必填项；2. 报表≤5 秒生成，展示核心字段及进度；3. 支持柱状图展示；4. 支持按进度排序；5. 支持导出 Excel/PDF 格式</t>
  </si>
  <si>
    <t>报表数据实时同步最新报工进度</t>
  </si>
  <si>
    <t>迭代 1用户故事总数</t>
  </si>
  <si>
    <t>迭代 1 故事点总和</t>
  </si>
  <si>
    <t>迭代 2用户故事总数</t>
  </si>
  <si>
    <t>迭代 2 故事点总和</t>
  </si>
  <si>
    <t>迭代 3用户故事总数</t>
  </si>
  <si>
    <t>迭代 3 故事点总和</t>
  </si>
  <si>
    <t>用户故事总数（全部）</t>
  </si>
  <si>
    <t>故事点总和（全部）</t>
  </si>
  <si>
    <t>待开发故事总数</t>
  </si>
  <si>
    <t>待开发故事点总和</t>
  </si>
  <si>
    <t>进行中故事总数</t>
  </si>
  <si>
    <t>进行中故事点总和</t>
  </si>
  <si>
    <t>已完成故事总数</t>
  </si>
  <si>
    <t>已完成故事点总和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</si>
</sst>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6" borderId="5">
      <alignment vertical="center"/>
    </xf>
    <xf numFmtId="0" fontId="19" fillId="2" borderId="6">
      <alignment vertical="center"/>
    </xf>
    <xf numFmtId="0" fontId="20" fillId="2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1" fontId="7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7" sqref="H7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8" width="20.2222222222222" customWidth="1"/>
    <col min="9" max="9" width="11.5555555555556" customWidth="1"/>
    <col min="10" max="10" width="20.8888888888889" customWidth="1"/>
  </cols>
  <sheetData>
    <row r="1" ht="9" customHeight="1"/>
    <row r="2" customFormat="1" ht="96" customHeight="1" spans="2:10">
      <c r="B2" s="9" t="s">
        <v>0</v>
      </c>
      <c r="C2" s="10"/>
      <c r="D2" s="10"/>
      <c r="E2" s="10"/>
      <c r="F2" s="10"/>
      <c r="G2" s="10"/>
      <c r="H2" s="10"/>
      <c r="I2" s="10"/>
      <c r="J2" s="10"/>
    </row>
    <row r="3" customFormat="1" ht="66" customHeight="1" spans="2:10">
      <c r="B3" s="11" t="s">
        <v>1</v>
      </c>
      <c r="C3" s="10"/>
      <c r="D3" s="10"/>
      <c r="E3" s="10"/>
      <c r="F3" s="10"/>
      <c r="G3" s="10"/>
      <c r="H3" s="10"/>
      <c r="I3" s="10"/>
      <c r="J3" s="10"/>
    </row>
    <row r="4" customFormat="1" ht="10" customHeight="1" spans="2:10">
      <c r="B4" s="10"/>
      <c r="C4" s="10"/>
      <c r="D4" s="10"/>
      <c r="E4" s="10"/>
      <c r="F4" s="10"/>
      <c r="G4" s="10"/>
      <c r="H4" s="10"/>
      <c r="I4" s="10"/>
      <c r="J4" s="10"/>
    </row>
    <row r="5" customFormat="1" ht="39" customHeight="1" spans="2:10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</row>
    <row r="6" customFormat="1" ht="28" customHeight="1" spans="2:10">
      <c r="B6" s="13" t="s">
        <v>11</v>
      </c>
      <c r="C6" s="14">
        <v>46006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  <c r="J6" s="13" t="s">
        <v>18</v>
      </c>
    </row>
    <row r="7" customFormat="1" ht="27" customHeight="1" spans="2:10">
      <c r="B7" s="13" t="s">
        <v>19</v>
      </c>
      <c r="C7" s="14">
        <v>46036</v>
      </c>
      <c r="D7" s="13" t="s">
        <v>20</v>
      </c>
      <c r="E7" s="13" t="s">
        <v>21</v>
      </c>
      <c r="F7" s="13" t="s">
        <v>22</v>
      </c>
      <c r="G7" s="13" t="s">
        <v>15</v>
      </c>
      <c r="H7" s="13" t="s">
        <v>16</v>
      </c>
      <c r="I7" s="13" t="s">
        <v>23</v>
      </c>
      <c r="J7" s="13" t="s">
        <v>18</v>
      </c>
    </row>
    <row r="8" customFormat="1" ht="27" customHeight="1" spans="2:10">
      <c r="B8" s="15"/>
      <c r="C8" s="16"/>
      <c r="D8" s="5"/>
      <c r="E8" s="5"/>
      <c r="F8" s="5"/>
      <c r="G8" s="5"/>
      <c r="H8" s="5"/>
      <c r="I8" s="5"/>
      <c r="J8" s="5"/>
    </row>
    <row r="9" customFormat="1" ht="27" customHeight="1" spans="2:10">
      <c r="B9" s="15"/>
      <c r="C9" s="16"/>
      <c r="D9" s="5"/>
      <c r="E9" s="5"/>
      <c r="F9" s="5"/>
      <c r="G9" s="5"/>
      <c r="H9" s="5"/>
      <c r="I9" s="5"/>
      <c r="J9" s="5"/>
    </row>
    <row r="10" customFormat="1" ht="27" customHeight="1" spans="2:10">
      <c r="B10" s="15"/>
      <c r="C10" s="16"/>
      <c r="D10" s="5"/>
      <c r="E10" s="5"/>
      <c r="F10" s="5"/>
      <c r="G10" s="5"/>
      <c r="H10" s="5"/>
      <c r="I10" s="5"/>
      <c r="J10" s="5"/>
    </row>
    <row r="11" customFormat="1" ht="27" customHeight="1" spans="2:10">
      <c r="B11" s="15"/>
      <c r="C11" s="16"/>
      <c r="D11" s="5"/>
      <c r="E11" s="5"/>
      <c r="F11" s="5"/>
      <c r="G11" s="5"/>
      <c r="H11" s="5"/>
      <c r="I11" s="5"/>
      <c r="J11" s="5"/>
    </row>
    <row r="12" customFormat="1" ht="27" customHeight="1" spans="2:10">
      <c r="B12" s="15"/>
      <c r="C12" s="16"/>
      <c r="D12" s="5"/>
      <c r="E12" s="5"/>
      <c r="F12" s="5"/>
      <c r="G12" s="5"/>
      <c r="H12" s="5"/>
      <c r="I12" s="5"/>
      <c r="J12" s="5"/>
    </row>
    <row r="13" customFormat="1" ht="30" customHeight="1" spans="2:10">
      <c r="B13" s="15"/>
      <c r="C13" s="16"/>
      <c r="D13" s="5"/>
      <c r="E13" s="5"/>
      <c r="F13" s="5"/>
      <c r="G13" s="5"/>
      <c r="H13" s="5"/>
      <c r="I13" s="5"/>
      <c r="J13" s="5"/>
    </row>
    <row r="14" customFormat="1" spans="2:10">
      <c r="B14" s="17" t="s">
        <v>24</v>
      </c>
      <c r="C14" s="18"/>
      <c r="D14" s="18"/>
      <c r="E14" s="18"/>
      <c r="F14" s="18"/>
      <c r="G14" s="18"/>
      <c r="H14" s="18"/>
      <c r="I14" s="18"/>
      <c r="J14" s="18"/>
    </row>
    <row r="15" customFormat="1" spans="2:10">
      <c r="B15" s="18"/>
      <c r="C15" s="18"/>
      <c r="D15" s="18"/>
      <c r="E15" s="18"/>
      <c r="F15" s="18"/>
      <c r="G15" s="18"/>
      <c r="H15" s="18"/>
      <c r="I15" s="18"/>
      <c r="J15" s="18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43"/>
  <sheetViews>
    <sheetView tabSelected="1" workbookViewId="0">
      <pane ySplit="3" topLeftCell="A133" activePane="bottomLeft" state="frozen"/>
      <selection/>
      <selection pane="bottomLeft" activeCell="E143" sqref="E143:G143"/>
    </sheetView>
  </sheetViews>
  <sheetFormatPr defaultColWidth="9" defaultRowHeight="14.4"/>
  <cols>
    <col min="1" max="1" width="9" style="1"/>
    <col min="2" max="2" width="17.5555555555556" style="1" customWidth="1"/>
    <col min="3" max="3" width="19.6666666666667" style="1" customWidth="1"/>
    <col min="4" max="4" width="16.5555555555556" style="1" customWidth="1"/>
    <col min="5" max="5" width="17.6666666666667" style="1" customWidth="1"/>
    <col min="6" max="6" width="13.1111111111111" style="1" customWidth="1"/>
    <col min="7" max="7" width="12.5555555555556" style="1" customWidth="1"/>
    <col min="8" max="8" width="24.6666666666667" style="1" customWidth="1"/>
    <col min="9" max="9" width="16.4444444444444" style="1" customWidth="1"/>
    <col min="10" max="10" width="14.7777777777778" style="1" customWidth="1"/>
    <col min="11" max="11" width="45.4444444444444" style="1" customWidth="1"/>
    <col min="12" max="12" width="34.1111111111111" style="1" customWidth="1"/>
    <col min="13" max="16384" width="9" style="1"/>
  </cols>
  <sheetData>
    <row r="2" ht="49" customHeight="1" spans="2:12"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.4" spans="2:12"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10</v>
      </c>
    </row>
    <row r="4" s="1" customFormat="1" ht="57.6" spans="2:12"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>
        <v>3</v>
      </c>
      <c r="H4" s="4" t="s">
        <v>41</v>
      </c>
      <c r="I4" s="5"/>
      <c r="J4" s="5" t="s">
        <v>42</v>
      </c>
      <c r="K4" s="4" t="s">
        <v>43</v>
      </c>
      <c r="L4" s="4" t="s">
        <v>44</v>
      </c>
    </row>
    <row r="5" s="1" customFormat="1" ht="43.2" spans="2:12">
      <c r="B5" s="4" t="s">
        <v>45</v>
      </c>
      <c r="C5" s="4" t="s">
        <v>46</v>
      </c>
      <c r="D5" s="4" t="s">
        <v>38</v>
      </c>
      <c r="E5" s="4" t="s">
        <v>47</v>
      </c>
      <c r="F5" s="4" t="s">
        <v>48</v>
      </c>
      <c r="G5" s="4">
        <v>2</v>
      </c>
      <c r="H5" s="4" t="s">
        <v>49</v>
      </c>
      <c r="I5" s="5" t="s">
        <v>50</v>
      </c>
      <c r="J5" s="5" t="s">
        <v>42</v>
      </c>
      <c r="K5" s="4" t="s">
        <v>51</v>
      </c>
      <c r="L5" s="4" t="s">
        <v>52</v>
      </c>
    </row>
    <row r="6" s="1" customFormat="1" ht="57.6" spans="2:12">
      <c r="B6" s="4" t="s">
        <v>53</v>
      </c>
      <c r="C6" s="4" t="s">
        <v>54</v>
      </c>
      <c r="D6" s="4" t="s">
        <v>38</v>
      </c>
      <c r="E6" s="4" t="s">
        <v>55</v>
      </c>
      <c r="F6" s="4" t="s">
        <v>56</v>
      </c>
      <c r="G6" s="4">
        <v>3</v>
      </c>
      <c r="H6" s="4" t="s">
        <v>57</v>
      </c>
      <c r="I6" s="5" t="s">
        <v>50</v>
      </c>
      <c r="J6" s="5" t="s">
        <v>42</v>
      </c>
      <c r="K6" s="4" t="s">
        <v>58</v>
      </c>
      <c r="L6" s="4" t="s">
        <v>59</v>
      </c>
    </row>
    <row r="7" s="1" customFormat="1" ht="43.2" spans="2:12">
      <c r="B7" s="4" t="s">
        <v>60</v>
      </c>
      <c r="C7" s="4" t="s">
        <v>61</v>
      </c>
      <c r="D7" s="4" t="s">
        <v>38</v>
      </c>
      <c r="E7" s="4" t="s">
        <v>62</v>
      </c>
      <c r="F7" s="4" t="s">
        <v>48</v>
      </c>
      <c r="G7" s="4">
        <v>2</v>
      </c>
      <c r="H7" s="4" t="s">
        <v>63</v>
      </c>
      <c r="I7" s="5" t="s">
        <v>50</v>
      </c>
      <c r="J7" s="5" t="s">
        <v>42</v>
      </c>
      <c r="K7" s="4" t="s">
        <v>64</v>
      </c>
      <c r="L7" s="4" t="s">
        <v>65</v>
      </c>
    </row>
    <row r="8" s="1" customFormat="1" ht="43.2" spans="2:12">
      <c r="B8" s="4" t="s">
        <v>66</v>
      </c>
      <c r="C8" s="4" t="s">
        <v>67</v>
      </c>
      <c r="D8" s="4" t="s">
        <v>38</v>
      </c>
      <c r="E8" s="4" t="s">
        <v>68</v>
      </c>
      <c r="F8" s="4" t="s">
        <v>40</v>
      </c>
      <c r="G8" s="4">
        <v>2</v>
      </c>
      <c r="H8" s="4" t="s">
        <v>69</v>
      </c>
      <c r="I8" s="5" t="s">
        <v>50</v>
      </c>
      <c r="J8" s="5" t="s">
        <v>42</v>
      </c>
      <c r="K8" s="4" t="s">
        <v>70</v>
      </c>
      <c r="L8" s="4" t="s">
        <v>71</v>
      </c>
    </row>
    <row r="9" s="1" customFormat="1" ht="43.2" spans="2:12">
      <c r="B9" s="4" t="s">
        <v>72</v>
      </c>
      <c r="C9" s="4" t="s">
        <v>73</v>
      </c>
      <c r="D9" s="4" t="s">
        <v>74</v>
      </c>
      <c r="E9" s="4" t="s">
        <v>75</v>
      </c>
      <c r="F9" s="4" t="s">
        <v>40</v>
      </c>
      <c r="G9" s="4">
        <v>3</v>
      </c>
      <c r="H9" s="4" t="s">
        <v>76</v>
      </c>
      <c r="I9" s="5" t="s">
        <v>50</v>
      </c>
      <c r="J9" s="5" t="s">
        <v>42</v>
      </c>
      <c r="K9" s="4" t="s">
        <v>77</v>
      </c>
      <c r="L9" s="4" t="s">
        <v>78</v>
      </c>
    </row>
    <row r="10" s="1" customFormat="1" ht="43.2" spans="2:12">
      <c r="B10" s="4" t="s">
        <v>79</v>
      </c>
      <c r="C10" s="4" t="s">
        <v>80</v>
      </c>
      <c r="D10" s="4" t="s">
        <v>74</v>
      </c>
      <c r="E10" s="4" t="s">
        <v>81</v>
      </c>
      <c r="F10" s="4" t="s">
        <v>48</v>
      </c>
      <c r="G10" s="4">
        <v>2</v>
      </c>
      <c r="H10" s="4" t="s">
        <v>82</v>
      </c>
      <c r="I10" s="5" t="s">
        <v>50</v>
      </c>
      <c r="J10" s="5" t="s">
        <v>42</v>
      </c>
      <c r="K10" s="4" t="s">
        <v>83</v>
      </c>
      <c r="L10" s="4"/>
    </row>
    <row r="11" s="1" customFormat="1" ht="43.2" spans="2:12">
      <c r="B11" s="4" t="s">
        <v>84</v>
      </c>
      <c r="C11" s="4" t="s">
        <v>85</v>
      </c>
      <c r="D11" s="4" t="s">
        <v>74</v>
      </c>
      <c r="E11" s="4" t="s">
        <v>86</v>
      </c>
      <c r="F11" s="4" t="s">
        <v>48</v>
      </c>
      <c r="G11" s="4">
        <v>1</v>
      </c>
      <c r="H11" s="4" t="s">
        <v>82</v>
      </c>
      <c r="I11" s="5" t="s">
        <v>50</v>
      </c>
      <c r="J11" s="5" t="s">
        <v>42</v>
      </c>
      <c r="K11" s="4" t="s">
        <v>87</v>
      </c>
      <c r="L11" s="4" t="s">
        <v>88</v>
      </c>
    </row>
    <row r="12" s="1" customFormat="1" ht="43.2" spans="2:12">
      <c r="B12" s="4" t="s">
        <v>89</v>
      </c>
      <c r="C12" s="4" t="s">
        <v>90</v>
      </c>
      <c r="D12" s="4" t="s">
        <v>74</v>
      </c>
      <c r="E12" s="4" t="s">
        <v>91</v>
      </c>
      <c r="F12" s="4" t="s">
        <v>48</v>
      </c>
      <c r="G12" s="4">
        <v>1</v>
      </c>
      <c r="H12" s="4" t="s">
        <v>82</v>
      </c>
      <c r="I12" s="5" t="s">
        <v>50</v>
      </c>
      <c r="J12" s="5" t="s">
        <v>42</v>
      </c>
      <c r="K12" s="4" t="s">
        <v>92</v>
      </c>
      <c r="L12" s="4" t="s">
        <v>93</v>
      </c>
    </row>
    <row r="13" s="1" customFormat="1" ht="43.2" spans="2:12">
      <c r="B13" s="4" t="s">
        <v>94</v>
      </c>
      <c r="C13" s="4" t="s">
        <v>95</v>
      </c>
      <c r="D13" s="4" t="s">
        <v>74</v>
      </c>
      <c r="E13" s="4" t="s">
        <v>96</v>
      </c>
      <c r="F13" s="4" t="s">
        <v>40</v>
      </c>
      <c r="G13" s="4">
        <v>3</v>
      </c>
      <c r="H13" s="4" t="s">
        <v>97</v>
      </c>
      <c r="I13" s="5" t="s">
        <v>50</v>
      </c>
      <c r="J13" s="5" t="s">
        <v>42</v>
      </c>
      <c r="K13" s="4" t="s">
        <v>98</v>
      </c>
      <c r="L13" s="4" t="s">
        <v>99</v>
      </c>
    </row>
    <row r="14" s="1" customFormat="1" ht="43.2" spans="2:12">
      <c r="B14" s="4" t="s">
        <v>100</v>
      </c>
      <c r="C14" s="4" t="s">
        <v>101</v>
      </c>
      <c r="D14" s="4" t="s">
        <v>74</v>
      </c>
      <c r="E14" s="4" t="s">
        <v>102</v>
      </c>
      <c r="F14" s="4" t="s">
        <v>48</v>
      </c>
      <c r="G14" s="4">
        <v>2</v>
      </c>
      <c r="H14" s="4" t="s">
        <v>103</v>
      </c>
      <c r="I14" s="5" t="s">
        <v>50</v>
      </c>
      <c r="J14" s="5" t="s">
        <v>42</v>
      </c>
      <c r="K14" s="4" t="s">
        <v>104</v>
      </c>
      <c r="L14" s="4" t="s">
        <v>105</v>
      </c>
    </row>
    <row r="15" s="1" customFormat="1" ht="43.2" spans="2:12">
      <c r="B15" s="4" t="s">
        <v>106</v>
      </c>
      <c r="C15" s="4" t="s">
        <v>107</v>
      </c>
      <c r="D15" s="4" t="s">
        <v>74</v>
      </c>
      <c r="E15" s="4" t="s">
        <v>108</v>
      </c>
      <c r="F15" s="4" t="s">
        <v>48</v>
      </c>
      <c r="G15" s="4">
        <v>1</v>
      </c>
      <c r="H15" s="4" t="s">
        <v>103</v>
      </c>
      <c r="I15" s="5" t="s">
        <v>50</v>
      </c>
      <c r="J15" s="5" t="s">
        <v>42</v>
      </c>
      <c r="K15" s="4" t="s">
        <v>109</v>
      </c>
      <c r="L15" s="4" t="s">
        <v>110</v>
      </c>
    </row>
    <row r="16" s="1" customFormat="1" ht="43.2" spans="2:12">
      <c r="B16" s="4" t="s">
        <v>111</v>
      </c>
      <c r="C16" s="4" t="s">
        <v>112</v>
      </c>
      <c r="D16" s="4" t="s">
        <v>74</v>
      </c>
      <c r="E16" s="4" t="s">
        <v>113</v>
      </c>
      <c r="F16" s="4" t="s">
        <v>48</v>
      </c>
      <c r="G16" s="4">
        <v>1</v>
      </c>
      <c r="H16" s="4" t="s">
        <v>103</v>
      </c>
      <c r="I16" s="5" t="s">
        <v>50</v>
      </c>
      <c r="J16" s="5" t="s">
        <v>42</v>
      </c>
      <c r="K16" s="4" t="s">
        <v>114</v>
      </c>
      <c r="L16" s="4" t="s">
        <v>115</v>
      </c>
    </row>
    <row r="17" s="1" customFormat="1" ht="43.2" spans="2:12">
      <c r="B17" s="4" t="s">
        <v>116</v>
      </c>
      <c r="C17" s="4" t="s">
        <v>117</v>
      </c>
      <c r="D17" s="4" t="s">
        <v>74</v>
      </c>
      <c r="E17" s="4" t="s">
        <v>118</v>
      </c>
      <c r="F17" s="4" t="s">
        <v>40</v>
      </c>
      <c r="G17" s="4">
        <v>3</v>
      </c>
      <c r="H17" s="4" t="s">
        <v>119</v>
      </c>
      <c r="I17" s="5" t="s">
        <v>50</v>
      </c>
      <c r="J17" s="5" t="s">
        <v>42</v>
      </c>
      <c r="K17" s="4" t="s">
        <v>120</v>
      </c>
      <c r="L17" s="4" t="s">
        <v>121</v>
      </c>
    </row>
    <row r="18" s="1" customFormat="1" ht="43.2" spans="2:12">
      <c r="B18" s="4" t="s">
        <v>122</v>
      </c>
      <c r="C18" s="4" t="s">
        <v>123</v>
      </c>
      <c r="D18" s="4" t="s">
        <v>74</v>
      </c>
      <c r="E18" s="4" t="s">
        <v>124</v>
      </c>
      <c r="F18" s="4" t="s">
        <v>48</v>
      </c>
      <c r="G18" s="4">
        <v>2</v>
      </c>
      <c r="H18" s="4" t="s">
        <v>125</v>
      </c>
      <c r="I18" s="5" t="s">
        <v>50</v>
      </c>
      <c r="J18" s="5" t="s">
        <v>42</v>
      </c>
      <c r="K18" s="4" t="s">
        <v>126</v>
      </c>
      <c r="L18" s="4" t="s">
        <v>127</v>
      </c>
    </row>
    <row r="19" s="1" customFormat="1" ht="43.2" spans="2:12">
      <c r="B19" s="4" t="s">
        <v>128</v>
      </c>
      <c r="C19" s="4" t="s">
        <v>129</v>
      </c>
      <c r="D19" s="4" t="s">
        <v>74</v>
      </c>
      <c r="E19" s="4" t="s">
        <v>130</v>
      </c>
      <c r="F19" s="4" t="s">
        <v>48</v>
      </c>
      <c r="G19" s="4">
        <v>1</v>
      </c>
      <c r="H19" s="4" t="s">
        <v>125</v>
      </c>
      <c r="I19" s="5" t="s">
        <v>50</v>
      </c>
      <c r="J19" s="5" t="s">
        <v>42</v>
      </c>
      <c r="K19" s="4" t="s">
        <v>131</v>
      </c>
      <c r="L19" s="4" t="s">
        <v>132</v>
      </c>
    </row>
    <row r="20" s="1" customFormat="1" ht="43.2" spans="2:12">
      <c r="B20" s="4" t="s">
        <v>133</v>
      </c>
      <c r="C20" s="4" t="s">
        <v>134</v>
      </c>
      <c r="D20" s="4" t="s">
        <v>74</v>
      </c>
      <c r="E20" s="4" t="s">
        <v>135</v>
      </c>
      <c r="F20" s="4" t="s">
        <v>48</v>
      </c>
      <c r="G20" s="4">
        <v>1</v>
      </c>
      <c r="H20" s="4" t="s">
        <v>125</v>
      </c>
      <c r="I20" s="5" t="s">
        <v>50</v>
      </c>
      <c r="J20" s="5" t="s">
        <v>42</v>
      </c>
      <c r="K20" s="4" t="s">
        <v>136</v>
      </c>
      <c r="L20" s="4" t="s">
        <v>137</v>
      </c>
    </row>
    <row r="21" s="1" customFormat="1" ht="43.2" spans="2:12">
      <c r="B21" s="4" t="s">
        <v>138</v>
      </c>
      <c r="C21" s="4" t="s">
        <v>139</v>
      </c>
      <c r="D21" s="4" t="s">
        <v>74</v>
      </c>
      <c r="E21" s="4" t="s">
        <v>140</v>
      </c>
      <c r="F21" s="4" t="s">
        <v>40</v>
      </c>
      <c r="G21" s="4">
        <v>3</v>
      </c>
      <c r="H21" s="4" t="s">
        <v>141</v>
      </c>
      <c r="I21" s="5" t="s">
        <v>50</v>
      </c>
      <c r="J21" s="5" t="s">
        <v>42</v>
      </c>
      <c r="K21" s="4" t="s">
        <v>142</v>
      </c>
      <c r="L21" s="4" t="s">
        <v>143</v>
      </c>
    </row>
    <row r="22" s="1" customFormat="1" ht="43.2" spans="2:12">
      <c r="B22" s="4" t="s">
        <v>144</v>
      </c>
      <c r="C22" s="4" t="s">
        <v>145</v>
      </c>
      <c r="D22" s="4" t="s">
        <v>74</v>
      </c>
      <c r="E22" s="4" t="s">
        <v>146</v>
      </c>
      <c r="F22" s="4" t="s">
        <v>48</v>
      </c>
      <c r="G22" s="4">
        <v>2</v>
      </c>
      <c r="H22" s="4" t="s">
        <v>147</v>
      </c>
      <c r="I22" s="5" t="s">
        <v>50</v>
      </c>
      <c r="J22" s="5" t="s">
        <v>42</v>
      </c>
      <c r="K22" s="4" t="s">
        <v>148</v>
      </c>
      <c r="L22" s="4" t="s">
        <v>149</v>
      </c>
    </row>
    <row r="23" s="1" customFormat="1" ht="43.2" spans="2:12">
      <c r="B23" s="4" t="s">
        <v>150</v>
      </c>
      <c r="C23" s="4" t="s">
        <v>151</v>
      </c>
      <c r="D23" s="4" t="s">
        <v>74</v>
      </c>
      <c r="E23" s="4" t="s">
        <v>152</v>
      </c>
      <c r="F23" s="4" t="s">
        <v>48</v>
      </c>
      <c r="G23" s="4">
        <v>1</v>
      </c>
      <c r="H23" s="4" t="s">
        <v>147</v>
      </c>
      <c r="I23" s="5" t="s">
        <v>50</v>
      </c>
      <c r="J23" s="5" t="s">
        <v>42</v>
      </c>
      <c r="K23" s="4" t="s">
        <v>153</v>
      </c>
      <c r="L23" s="4" t="s">
        <v>154</v>
      </c>
    </row>
    <row r="24" s="1" customFormat="1" ht="43.2" spans="2:12">
      <c r="B24" s="4" t="s">
        <v>155</v>
      </c>
      <c r="C24" s="4" t="s">
        <v>156</v>
      </c>
      <c r="D24" s="4" t="s">
        <v>74</v>
      </c>
      <c r="E24" s="4" t="s">
        <v>157</v>
      </c>
      <c r="F24" s="4" t="s">
        <v>48</v>
      </c>
      <c r="G24" s="4">
        <v>1</v>
      </c>
      <c r="H24" s="4" t="s">
        <v>147</v>
      </c>
      <c r="I24" s="5" t="s">
        <v>50</v>
      </c>
      <c r="J24" s="5" t="s">
        <v>42</v>
      </c>
      <c r="K24" s="4" t="s">
        <v>158</v>
      </c>
      <c r="L24" s="4" t="s">
        <v>159</v>
      </c>
    </row>
    <row r="25" s="1" customFormat="1" ht="43.2" spans="2:12">
      <c r="B25" s="4" t="s">
        <v>160</v>
      </c>
      <c r="C25" s="4" t="s">
        <v>161</v>
      </c>
      <c r="D25" s="4" t="s">
        <v>74</v>
      </c>
      <c r="E25" s="4" t="s">
        <v>162</v>
      </c>
      <c r="F25" s="4" t="s">
        <v>40</v>
      </c>
      <c r="G25" s="4">
        <v>3</v>
      </c>
      <c r="H25" s="4" t="s">
        <v>163</v>
      </c>
      <c r="I25" s="5" t="s">
        <v>50</v>
      </c>
      <c r="J25" s="5" t="s">
        <v>42</v>
      </c>
      <c r="K25" s="4" t="s">
        <v>164</v>
      </c>
      <c r="L25" s="4" t="s">
        <v>165</v>
      </c>
    </row>
    <row r="26" s="1" customFormat="1" ht="43.2" spans="2:12">
      <c r="B26" s="4" t="s">
        <v>166</v>
      </c>
      <c r="C26" s="4" t="s">
        <v>167</v>
      </c>
      <c r="D26" s="4" t="s">
        <v>74</v>
      </c>
      <c r="E26" s="4" t="s">
        <v>168</v>
      </c>
      <c r="F26" s="4" t="s">
        <v>48</v>
      </c>
      <c r="G26" s="4">
        <v>2</v>
      </c>
      <c r="H26" s="4" t="s">
        <v>169</v>
      </c>
      <c r="I26" s="5" t="s">
        <v>50</v>
      </c>
      <c r="J26" s="5" t="s">
        <v>42</v>
      </c>
      <c r="K26" s="4" t="s">
        <v>170</v>
      </c>
      <c r="L26" s="4" t="s">
        <v>171</v>
      </c>
    </row>
    <row r="27" s="1" customFormat="1" ht="43.2" spans="2:12">
      <c r="B27" s="4" t="s">
        <v>172</v>
      </c>
      <c r="C27" s="4" t="s">
        <v>173</v>
      </c>
      <c r="D27" s="4" t="s">
        <v>74</v>
      </c>
      <c r="E27" s="4" t="s">
        <v>174</v>
      </c>
      <c r="F27" s="4" t="s">
        <v>48</v>
      </c>
      <c r="G27" s="4">
        <v>1</v>
      </c>
      <c r="H27" s="4" t="s">
        <v>169</v>
      </c>
      <c r="I27" s="5" t="s">
        <v>175</v>
      </c>
      <c r="J27" s="5" t="s">
        <v>42</v>
      </c>
      <c r="K27" s="4" t="s">
        <v>176</v>
      </c>
      <c r="L27" s="4" t="s">
        <v>177</v>
      </c>
    </row>
    <row r="28" s="1" customFormat="1" ht="43.2" spans="2:12">
      <c r="B28" s="4" t="s">
        <v>178</v>
      </c>
      <c r="C28" s="4" t="s">
        <v>179</v>
      </c>
      <c r="D28" s="4" t="s">
        <v>74</v>
      </c>
      <c r="E28" s="4" t="s">
        <v>180</v>
      </c>
      <c r="F28" s="4" t="s">
        <v>56</v>
      </c>
      <c r="G28" s="4">
        <v>1</v>
      </c>
      <c r="H28" s="4" t="s">
        <v>169</v>
      </c>
      <c r="I28" s="5" t="s">
        <v>175</v>
      </c>
      <c r="J28" s="5" t="s">
        <v>42</v>
      </c>
      <c r="K28" s="4" t="s">
        <v>181</v>
      </c>
      <c r="L28" s="4" t="s">
        <v>182</v>
      </c>
    </row>
    <row r="29" s="1" customFormat="1" ht="43.2" spans="2:12">
      <c r="B29" s="4" t="s">
        <v>183</v>
      </c>
      <c r="C29" s="4" t="s">
        <v>184</v>
      </c>
      <c r="D29" s="4" t="s">
        <v>74</v>
      </c>
      <c r="E29" s="4" t="s">
        <v>185</v>
      </c>
      <c r="F29" s="4" t="s">
        <v>40</v>
      </c>
      <c r="G29" s="4">
        <v>3</v>
      </c>
      <c r="H29" s="4" t="s">
        <v>186</v>
      </c>
      <c r="I29" s="5" t="s">
        <v>50</v>
      </c>
      <c r="J29" s="5" t="s">
        <v>42</v>
      </c>
      <c r="K29" s="4" t="s">
        <v>187</v>
      </c>
      <c r="L29" s="4" t="s">
        <v>188</v>
      </c>
    </row>
    <row r="30" s="1" customFormat="1" ht="43.2" spans="2:12">
      <c r="B30" s="4" t="s">
        <v>189</v>
      </c>
      <c r="C30" s="4" t="s">
        <v>190</v>
      </c>
      <c r="D30" s="4" t="s">
        <v>74</v>
      </c>
      <c r="E30" s="4" t="s">
        <v>191</v>
      </c>
      <c r="F30" s="4" t="s">
        <v>48</v>
      </c>
      <c r="G30" s="4">
        <v>2</v>
      </c>
      <c r="H30" s="4" t="s">
        <v>192</v>
      </c>
      <c r="I30" s="5" t="s">
        <v>50</v>
      </c>
      <c r="J30" s="5" t="s">
        <v>42</v>
      </c>
      <c r="K30" s="4" t="s">
        <v>193</v>
      </c>
      <c r="L30" s="4" t="s">
        <v>194</v>
      </c>
    </row>
    <row r="31" s="1" customFormat="1" ht="43.2" spans="2:12">
      <c r="B31" s="4" t="s">
        <v>195</v>
      </c>
      <c r="C31" s="4" t="s">
        <v>196</v>
      </c>
      <c r="D31" s="4" t="s">
        <v>74</v>
      </c>
      <c r="E31" s="4" t="s">
        <v>197</v>
      </c>
      <c r="F31" s="4" t="s">
        <v>48</v>
      </c>
      <c r="G31" s="4">
        <v>1</v>
      </c>
      <c r="H31" s="4" t="s">
        <v>192</v>
      </c>
      <c r="I31" s="5" t="s">
        <v>50</v>
      </c>
      <c r="J31" s="5" t="s">
        <v>42</v>
      </c>
      <c r="K31" s="4" t="s">
        <v>198</v>
      </c>
      <c r="L31" s="4" t="s">
        <v>199</v>
      </c>
    </row>
    <row r="32" s="1" customFormat="1" ht="43.2" spans="2:12">
      <c r="B32" s="4" t="s">
        <v>200</v>
      </c>
      <c r="C32" s="4" t="s">
        <v>201</v>
      </c>
      <c r="D32" s="4" t="s">
        <v>74</v>
      </c>
      <c r="E32" s="4" t="s">
        <v>202</v>
      </c>
      <c r="F32" s="4" t="s">
        <v>40</v>
      </c>
      <c r="G32" s="4">
        <v>1</v>
      </c>
      <c r="H32" s="4" t="s">
        <v>192</v>
      </c>
      <c r="I32" s="5" t="s">
        <v>50</v>
      </c>
      <c r="J32" s="5" t="s">
        <v>42</v>
      </c>
      <c r="K32" s="4" t="s">
        <v>203</v>
      </c>
      <c r="L32" s="4" t="s">
        <v>204</v>
      </c>
    </row>
    <row r="33" s="1" customFormat="1" ht="43.2" spans="2:12">
      <c r="B33" s="4" t="s">
        <v>205</v>
      </c>
      <c r="C33" s="4" t="s">
        <v>206</v>
      </c>
      <c r="D33" s="4" t="s">
        <v>74</v>
      </c>
      <c r="E33" s="4" t="s">
        <v>207</v>
      </c>
      <c r="F33" s="4" t="s">
        <v>40</v>
      </c>
      <c r="G33" s="4">
        <v>2</v>
      </c>
      <c r="H33" s="4" t="s">
        <v>208</v>
      </c>
      <c r="I33" s="5" t="s">
        <v>50</v>
      </c>
      <c r="J33" s="5" t="s">
        <v>42</v>
      </c>
      <c r="K33" s="4" t="s">
        <v>209</v>
      </c>
      <c r="L33" s="4" t="s">
        <v>210</v>
      </c>
    </row>
    <row r="34" s="1" customFormat="1" ht="43.2" spans="2:12">
      <c r="B34" s="4" t="s">
        <v>211</v>
      </c>
      <c r="C34" s="4" t="s">
        <v>212</v>
      </c>
      <c r="D34" s="4" t="s">
        <v>74</v>
      </c>
      <c r="E34" s="4" t="s">
        <v>213</v>
      </c>
      <c r="F34" s="4" t="s">
        <v>48</v>
      </c>
      <c r="G34" s="4">
        <v>2</v>
      </c>
      <c r="H34" s="4" t="s">
        <v>214</v>
      </c>
      <c r="I34" s="5" t="s">
        <v>50</v>
      </c>
      <c r="J34" s="5" t="s">
        <v>42</v>
      </c>
      <c r="K34" s="4" t="s">
        <v>215</v>
      </c>
      <c r="L34" s="4" t="s">
        <v>216</v>
      </c>
    </row>
    <row r="35" s="1" customFormat="1" ht="43.2" spans="2:12">
      <c r="B35" s="4" t="s">
        <v>217</v>
      </c>
      <c r="C35" s="4" t="s">
        <v>218</v>
      </c>
      <c r="D35" s="4" t="s">
        <v>74</v>
      </c>
      <c r="E35" s="4" t="s">
        <v>219</v>
      </c>
      <c r="F35" s="4" t="s">
        <v>48</v>
      </c>
      <c r="G35" s="4">
        <v>1</v>
      </c>
      <c r="H35" s="4" t="s">
        <v>214</v>
      </c>
      <c r="I35" s="5" t="s">
        <v>50</v>
      </c>
      <c r="J35" s="5" t="s">
        <v>42</v>
      </c>
      <c r="K35" s="4" t="s">
        <v>220</v>
      </c>
      <c r="L35" s="4" t="s">
        <v>221</v>
      </c>
    </row>
    <row r="36" s="1" customFormat="1" ht="43.2" spans="2:12">
      <c r="B36" s="4" t="s">
        <v>222</v>
      </c>
      <c r="C36" s="4" t="s">
        <v>223</v>
      </c>
      <c r="D36" s="4" t="s">
        <v>74</v>
      </c>
      <c r="E36" s="4" t="s">
        <v>224</v>
      </c>
      <c r="F36" s="4" t="s">
        <v>56</v>
      </c>
      <c r="G36" s="4">
        <v>1</v>
      </c>
      <c r="H36" s="4" t="s">
        <v>214</v>
      </c>
      <c r="I36" s="5" t="s">
        <v>50</v>
      </c>
      <c r="J36" s="5" t="s">
        <v>42</v>
      </c>
      <c r="K36" s="4" t="s">
        <v>225</v>
      </c>
      <c r="L36" s="4" t="s">
        <v>226</v>
      </c>
    </row>
    <row r="37" s="1" customFormat="1" ht="43.2" spans="2:12">
      <c r="B37" s="4" t="s">
        <v>227</v>
      </c>
      <c r="C37" s="4" t="s">
        <v>228</v>
      </c>
      <c r="D37" s="4" t="s">
        <v>229</v>
      </c>
      <c r="E37" s="4" t="s">
        <v>230</v>
      </c>
      <c r="F37" s="4" t="s">
        <v>40</v>
      </c>
      <c r="G37" s="4">
        <v>3</v>
      </c>
      <c r="H37" s="4" t="s">
        <v>16</v>
      </c>
      <c r="I37" s="5" t="s">
        <v>50</v>
      </c>
      <c r="J37" s="5" t="s">
        <v>42</v>
      </c>
      <c r="K37" s="4" t="s">
        <v>231</v>
      </c>
      <c r="L37" s="4" t="s">
        <v>232</v>
      </c>
    </row>
    <row r="38" s="1" customFormat="1" ht="43.2" spans="2:12">
      <c r="B38" s="4" t="s">
        <v>233</v>
      </c>
      <c r="C38" s="4" t="s">
        <v>234</v>
      </c>
      <c r="D38" s="4" t="s">
        <v>229</v>
      </c>
      <c r="E38" s="4" t="s">
        <v>235</v>
      </c>
      <c r="F38" s="4" t="s">
        <v>48</v>
      </c>
      <c r="G38" s="4">
        <v>2</v>
      </c>
      <c r="H38" s="4" t="s">
        <v>236</v>
      </c>
      <c r="I38" s="5" t="s">
        <v>50</v>
      </c>
      <c r="J38" s="5" t="s">
        <v>42</v>
      </c>
      <c r="K38" s="4" t="s">
        <v>237</v>
      </c>
      <c r="L38" s="4" t="s">
        <v>238</v>
      </c>
    </row>
    <row r="39" s="1" customFormat="1" ht="43.2" spans="2:12">
      <c r="B39" s="4" t="s">
        <v>239</v>
      </c>
      <c r="C39" s="4" t="s">
        <v>240</v>
      </c>
      <c r="D39" s="4" t="s">
        <v>229</v>
      </c>
      <c r="E39" s="4" t="s">
        <v>241</v>
      </c>
      <c r="F39" s="4" t="s">
        <v>48</v>
      </c>
      <c r="G39" s="4">
        <v>1</v>
      </c>
      <c r="H39" s="4" t="s">
        <v>236</v>
      </c>
      <c r="I39" s="5" t="s">
        <v>50</v>
      </c>
      <c r="J39" s="5" t="s">
        <v>42</v>
      </c>
      <c r="K39" s="4" t="s">
        <v>242</v>
      </c>
      <c r="L39" s="4" t="s">
        <v>243</v>
      </c>
    </row>
    <row r="40" s="1" customFormat="1" ht="43.2" spans="2:12">
      <c r="B40" s="4" t="s">
        <v>244</v>
      </c>
      <c r="C40" s="4" t="s">
        <v>245</v>
      </c>
      <c r="D40" s="4" t="s">
        <v>229</v>
      </c>
      <c r="E40" s="4" t="s">
        <v>246</v>
      </c>
      <c r="F40" s="4" t="s">
        <v>48</v>
      </c>
      <c r="G40" s="4">
        <v>1</v>
      </c>
      <c r="H40" s="4" t="s">
        <v>236</v>
      </c>
      <c r="I40" s="5" t="s">
        <v>50</v>
      </c>
      <c r="J40" s="5" t="s">
        <v>42</v>
      </c>
      <c r="K40" s="4" t="s">
        <v>247</v>
      </c>
      <c r="L40" s="4" t="s">
        <v>248</v>
      </c>
    </row>
    <row r="41" s="1" customFormat="1" ht="43.2" spans="2:12">
      <c r="B41" s="4" t="s">
        <v>249</v>
      </c>
      <c r="C41" s="4" t="s">
        <v>250</v>
      </c>
      <c r="D41" s="4" t="s">
        <v>229</v>
      </c>
      <c r="E41" s="4" t="s">
        <v>251</v>
      </c>
      <c r="F41" s="4" t="s">
        <v>40</v>
      </c>
      <c r="G41" s="4">
        <v>3</v>
      </c>
      <c r="H41" s="4" t="s">
        <v>16</v>
      </c>
      <c r="I41" s="5" t="s">
        <v>50</v>
      </c>
      <c r="J41" s="5" t="s">
        <v>42</v>
      </c>
      <c r="K41" s="4" t="s">
        <v>252</v>
      </c>
      <c r="L41" s="4" t="s">
        <v>253</v>
      </c>
    </row>
    <row r="42" s="1" customFormat="1" ht="43.2" spans="2:12">
      <c r="B42" s="4" t="s">
        <v>254</v>
      </c>
      <c r="C42" s="4" t="s">
        <v>255</v>
      </c>
      <c r="D42" s="4" t="s">
        <v>229</v>
      </c>
      <c r="E42" s="4" t="s">
        <v>256</v>
      </c>
      <c r="F42" s="4" t="s">
        <v>48</v>
      </c>
      <c r="G42" s="4">
        <v>2</v>
      </c>
      <c r="H42" s="4" t="s">
        <v>257</v>
      </c>
      <c r="I42" s="5" t="s">
        <v>50</v>
      </c>
      <c r="J42" s="5" t="s">
        <v>42</v>
      </c>
      <c r="K42" s="4" t="s">
        <v>258</v>
      </c>
      <c r="L42" s="4" t="s">
        <v>259</v>
      </c>
    </row>
    <row r="43" s="1" customFormat="1" ht="43.2" spans="2:12">
      <c r="B43" s="4" t="s">
        <v>260</v>
      </c>
      <c r="C43" s="4" t="s">
        <v>261</v>
      </c>
      <c r="D43" s="4" t="s">
        <v>229</v>
      </c>
      <c r="E43" s="4" t="s">
        <v>262</v>
      </c>
      <c r="F43" s="4" t="s">
        <v>48</v>
      </c>
      <c r="G43" s="4">
        <v>1</v>
      </c>
      <c r="H43" s="4" t="s">
        <v>257</v>
      </c>
      <c r="I43" s="5" t="s">
        <v>50</v>
      </c>
      <c r="J43" s="5" t="s">
        <v>42</v>
      </c>
      <c r="K43" s="4" t="s">
        <v>263</v>
      </c>
      <c r="L43" s="4" t="s">
        <v>264</v>
      </c>
    </row>
    <row r="44" s="1" customFormat="1" ht="43.2" spans="2:12">
      <c r="B44" s="4" t="s">
        <v>265</v>
      </c>
      <c r="C44" s="4" t="s">
        <v>266</v>
      </c>
      <c r="D44" s="4" t="s">
        <v>229</v>
      </c>
      <c r="E44" s="4" t="s">
        <v>267</v>
      </c>
      <c r="F44" s="4" t="s">
        <v>56</v>
      </c>
      <c r="G44" s="4">
        <v>1</v>
      </c>
      <c r="H44" s="4" t="s">
        <v>257</v>
      </c>
      <c r="I44" s="5" t="s">
        <v>50</v>
      </c>
      <c r="J44" s="5" t="s">
        <v>42</v>
      </c>
      <c r="K44" s="4" t="s">
        <v>268</v>
      </c>
      <c r="L44" s="4" t="s">
        <v>269</v>
      </c>
    </row>
    <row r="45" s="1" customFormat="1" ht="43.2" spans="2:12">
      <c r="B45" s="4" t="s">
        <v>270</v>
      </c>
      <c r="C45" s="4" t="s">
        <v>271</v>
      </c>
      <c r="D45" s="4" t="s">
        <v>229</v>
      </c>
      <c r="E45" s="4" t="s">
        <v>272</v>
      </c>
      <c r="F45" s="4" t="s">
        <v>40</v>
      </c>
      <c r="G45" s="4">
        <v>3</v>
      </c>
      <c r="H45" s="4" t="s">
        <v>125</v>
      </c>
      <c r="I45" s="5" t="s">
        <v>50</v>
      </c>
      <c r="J45" s="5" t="s">
        <v>42</v>
      </c>
      <c r="K45" s="4" t="s">
        <v>273</v>
      </c>
      <c r="L45" s="4" t="s">
        <v>274</v>
      </c>
    </row>
    <row r="46" s="1" customFormat="1" ht="43.2" spans="2:12">
      <c r="B46" s="4" t="s">
        <v>275</v>
      </c>
      <c r="C46" s="4" t="s">
        <v>276</v>
      </c>
      <c r="D46" s="4" t="s">
        <v>229</v>
      </c>
      <c r="E46" s="4" t="s">
        <v>277</v>
      </c>
      <c r="F46" s="4" t="s">
        <v>48</v>
      </c>
      <c r="G46" s="4">
        <v>2</v>
      </c>
      <c r="H46" s="4" t="s">
        <v>278</v>
      </c>
      <c r="I46" s="5" t="s">
        <v>50</v>
      </c>
      <c r="J46" s="5" t="s">
        <v>42</v>
      </c>
      <c r="K46" s="4" t="s">
        <v>279</v>
      </c>
      <c r="L46" s="4" t="s">
        <v>280</v>
      </c>
    </row>
    <row r="47" s="1" customFormat="1" ht="43.2" spans="2:12">
      <c r="B47" s="4" t="s">
        <v>281</v>
      </c>
      <c r="C47" s="4" t="s">
        <v>282</v>
      </c>
      <c r="D47" s="4" t="s">
        <v>229</v>
      </c>
      <c r="E47" s="4" t="s">
        <v>283</v>
      </c>
      <c r="F47" s="4" t="s">
        <v>48</v>
      </c>
      <c r="G47" s="4">
        <v>1</v>
      </c>
      <c r="H47" s="4" t="s">
        <v>278</v>
      </c>
      <c r="I47" s="5" t="s">
        <v>50</v>
      </c>
      <c r="J47" s="5" t="s">
        <v>42</v>
      </c>
      <c r="K47" s="4" t="s">
        <v>284</v>
      </c>
      <c r="L47" s="4" t="s">
        <v>285</v>
      </c>
    </row>
    <row r="48" s="1" customFormat="1" ht="43.2" spans="2:12">
      <c r="B48" s="4" t="s">
        <v>286</v>
      </c>
      <c r="C48" s="4" t="s">
        <v>287</v>
      </c>
      <c r="D48" s="4" t="s">
        <v>229</v>
      </c>
      <c r="E48" s="4" t="s">
        <v>288</v>
      </c>
      <c r="F48" s="4" t="s">
        <v>56</v>
      </c>
      <c r="G48" s="4">
        <v>1</v>
      </c>
      <c r="H48" s="4" t="s">
        <v>278</v>
      </c>
      <c r="I48" s="5" t="s">
        <v>50</v>
      </c>
      <c r="J48" s="5" t="s">
        <v>42</v>
      </c>
      <c r="K48" s="4" t="s">
        <v>289</v>
      </c>
      <c r="L48" s="4" t="s">
        <v>290</v>
      </c>
    </row>
    <row r="49" s="1" customFormat="1" ht="43.2" spans="2:12">
      <c r="B49" s="4" t="s">
        <v>291</v>
      </c>
      <c r="C49" s="4" t="s">
        <v>292</v>
      </c>
      <c r="D49" s="4" t="s">
        <v>229</v>
      </c>
      <c r="E49" s="4" t="s">
        <v>293</v>
      </c>
      <c r="F49" s="4" t="s">
        <v>40</v>
      </c>
      <c r="G49" s="4">
        <v>3</v>
      </c>
      <c r="H49" s="4" t="s">
        <v>278</v>
      </c>
      <c r="I49" s="5" t="s">
        <v>50</v>
      </c>
      <c r="J49" s="5" t="s">
        <v>42</v>
      </c>
      <c r="K49" s="4" t="s">
        <v>294</v>
      </c>
      <c r="L49" s="4" t="s">
        <v>295</v>
      </c>
    </row>
    <row r="50" s="1" customFormat="1" ht="43.2" spans="2:12">
      <c r="B50" s="4" t="s">
        <v>296</v>
      </c>
      <c r="C50" s="4" t="s">
        <v>297</v>
      </c>
      <c r="D50" s="4" t="s">
        <v>229</v>
      </c>
      <c r="E50" s="4" t="s">
        <v>298</v>
      </c>
      <c r="F50" s="4" t="s">
        <v>48</v>
      </c>
      <c r="G50" s="4">
        <v>2</v>
      </c>
      <c r="H50" s="4" t="s">
        <v>299</v>
      </c>
      <c r="I50" s="5" t="s">
        <v>50</v>
      </c>
      <c r="J50" s="5" t="s">
        <v>42</v>
      </c>
      <c r="K50" s="4" t="s">
        <v>300</v>
      </c>
      <c r="L50" s="4" t="s">
        <v>301</v>
      </c>
    </row>
    <row r="51" s="1" customFormat="1" ht="43.2" spans="2:12">
      <c r="B51" s="4" t="s">
        <v>302</v>
      </c>
      <c r="C51" s="4" t="s">
        <v>303</v>
      </c>
      <c r="D51" s="4" t="s">
        <v>229</v>
      </c>
      <c r="E51" s="4" t="s">
        <v>304</v>
      </c>
      <c r="F51" s="4" t="s">
        <v>48</v>
      </c>
      <c r="G51" s="4">
        <v>1</v>
      </c>
      <c r="H51" s="4" t="s">
        <v>299</v>
      </c>
      <c r="I51" s="5" t="s">
        <v>50</v>
      </c>
      <c r="J51" s="5" t="s">
        <v>42</v>
      </c>
      <c r="K51" s="4" t="s">
        <v>305</v>
      </c>
      <c r="L51" s="4" t="s">
        <v>306</v>
      </c>
    </row>
    <row r="52" s="1" customFormat="1" ht="43.2" spans="2:12">
      <c r="B52" s="4" t="s">
        <v>307</v>
      </c>
      <c r="C52" s="4" t="s">
        <v>308</v>
      </c>
      <c r="D52" s="4" t="s">
        <v>229</v>
      </c>
      <c r="E52" s="4" t="s">
        <v>309</v>
      </c>
      <c r="F52" s="4" t="s">
        <v>56</v>
      </c>
      <c r="G52" s="4">
        <v>1</v>
      </c>
      <c r="H52" s="4" t="s">
        <v>299</v>
      </c>
      <c r="I52" s="5" t="s">
        <v>50</v>
      </c>
      <c r="J52" s="5" t="s">
        <v>42</v>
      </c>
      <c r="K52" s="4" t="s">
        <v>310</v>
      </c>
      <c r="L52" s="4" t="s">
        <v>269</v>
      </c>
    </row>
    <row r="53" s="1" customFormat="1" ht="43.2" spans="2:12">
      <c r="B53" s="4" t="s">
        <v>311</v>
      </c>
      <c r="C53" s="4" t="s">
        <v>312</v>
      </c>
      <c r="D53" s="4" t="s">
        <v>229</v>
      </c>
      <c r="E53" s="4" t="s">
        <v>313</v>
      </c>
      <c r="F53" s="4" t="s">
        <v>40</v>
      </c>
      <c r="G53" s="4">
        <v>3</v>
      </c>
      <c r="H53" s="4" t="s">
        <v>314</v>
      </c>
      <c r="I53" s="5"/>
      <c r="J53" s="5" t="s">
        <v>315</v>
      </c>
      <c r="K53" s="4" t="s">
        <v>316</v>
      </c>
      <c r="L53" s="4" t="s">
        <v>317</v>
      </c>
    </row>
    <row r="54" s="1" customFormat="1" ht="43.2" spans="2:12">
      <c r="B54" s="4" t="s">
        <v>318</v>
      </c>
      <c r="C54" s="4" t="s">
        <v>319</v>
      </c>
      <c r="D54" s="4" t="s">
        <v>229</v>
      </c>
      <c r="E54" s="4" t="s">
        <v>320</v>
      </c>
      <c r="F54" s="4" t="s">
        <v>48</v>
      </c>
      <c r="G54" s="4">
        <v>2</v>
      </c>
      <c r="H54" s="4" t="s">
        <v>321</v>
      </c>
      <c r="I54" s="5"/>
      <c r="J54" s="5" t="s">
        <v>315</v>
      </c>
      <c r="K54" s="4" t="s">
        <v>322</v>
      </c>
      <c r="L54" s="4" t="s">
        <v>323</v>
      </c>
    </row>
    <row r="55" s="1" customFormat="1" ht="43.2" spans="2:12">
      <c r="B55" s="4" t="s">
        <v>324</v>
      </c>
      <c r="C55" s="4" t="s">
        <v>325</v>
      </c>
      <c r="D55" s="4" t="s">
        <v>229</v>
      </c>
      <c r="E55" s="4" t="s">
        <v>326</v>
      </c>
      <c r="F55" s="4" t="s">
        <v>48</v>
      </c>
      <c r="G55" s="4">
        <v>2</v>
      </c>
      <c r="H55" s="4" t="s">
        <v>321</v>
      </c>
      <c r="I55" s="5"/>
      <c r="J55" s="5" t="s">
        <v>315</v>
      </c>
      <c r="K55" s="4" t="s">
        <v>327</v>
      </c>
      <c r="L55" s="4" t="s">
        <v>328</v>
      </c>
    </row>
    <row r="56" s="1" customFormat="1" ht="43.2" spans="2:12">
      <c r="B56" s="4" t="s">
        <v>329</v>
      </c>
      <c r="C56" s="4" t="s">
        <v>330</v>
      </c>
      <c r="D56" s="4" t="s">
        <v>229</v>
      </c>
      <c r="E56" s="4" t="s">
        <v>331</v>
      </c>
      <c r="F56" s="4" t="s">
        <v>56</v>
      </c>
      <c r="G56" s="4">
        <v>1</v>
      </c>
      <c r="H56" s="4" t="s">
        <v>321</v>
      </c>
      <c r="I56" s="5"/>
      <c r="J56" s="5" t="s">
        <v>315</v>
      </c>
      <c r="K56" s="4" t="s">
        <v>332</v>
      </c>
      <c r="L56" s="4" t="s">
        <v>333</v>
      </c>
    </row>
    <row r="57" s="1" customFormat="1" ht="43.2" spans="2:12">
      <c r="B57" s="4" t="s">
        <v>334</v>
      </c>
      <c r="C57" s="4" t="s">
        <v>335</v>
      </c>
      <c r="D57" s="4" t="s">
        <v>229</v>
      </c>
      <c r="E57" s="4" t="s">
        <v>336</v>
      </c>
      <c r="F57" s="4" t="s">
        <v>40</v>
      </c>
      <c r="G57" s="4">
        <v>3</v>
      </c>
      <c r="H57" s="4" t="s">
        <v>337</v>
      </c>
      <c r="I57" s="5"/>
      <c r="J57" s="5" t="s">
        <v>315</v>
      </c>
      <c r="K57" s="4" t="s">
        <v>338</v>
      </c>
      <c r="L57" s="4" t="s">
        <v>339</v>
      </c>
    </row>
    <row r="58" s="1" customFormat="1" ht="43.2" spans="2:12">
      <c r="B58" s="4" t="s">
        <v>340</v>
      </c>
      <c r="C58" s="4" t="s">
        <v>341</v>
      </c>
      <c r="D58" s="4" t="s">
        <v>229</v>
      </c>
      <c r="E58" s="4" t="s">
        <v>342</v>
      </c>
      <c r="F58" s="4" t="s">
        <v>48</v>
      </c>
      <c r="G58" s="4">
        <v>2</v>
      </c>
      <c r="H58" s="4" t="s">
        <v>343</v>
      </c>
      <c r="I58" s="5"/>
      <c r="J58" s="5" t="s">
        <v>315</v>
      </c>
      <c r="K58" s="4" t="s">
        <v>344</v>
      </c>
      <c r="L58" s="4" t="s">
        <v>345</v>
      </c>
    </row>
    <row r="59" s="1" customFormat="1" ht="43.2" spans="2:12">
      <c r="B59" s="4" t="s">
        <v>346</v>
      </c>
      <c r="C59" s="4" t="s">
        <v>347</v>
      </c>
      <c r="D59" s="4" t="s">
        <v>229</v>
      </c>
      <c r="E59" s="4" t="s">
        <v>348</v>
      </c>
      <c r="F59" s="4" t="s">
        <v>48</v>
      </c>
      <c r="G59" s="4">
        <v>1</v>
      </c>
      <c r="H59" s="4" t="s">
        <v>343</v>
      </c>
      <c r="I59" s="5"/>
      <c r="J59" s="5" t="s">
        <v>315</v>
      </c>
      <c r="K59" s="4" t="s">
        <v>349</v>
      </c>
      <c r="L59" s="4" t="s">
        <v>350</v>
      </c>
    </row>
    <row r="60" s="1" customFormat="1" ht="43.2" spans="2:12">
      <c r="B60" s="4" t="s">
        <v>351</v>
      </c>
      <c r="C60" s="4" t="s">
        <v>352</v>
      </c>
      <c r="D60" s="4" t="s">
        <v>229</v>
      </c>
      <c r="E60" s="4" t="s">
        <v>353</v>
      </c>
      <c r="F60" s="4" t="s">
        <v>56</v>
      </c>
      <c r="G60" s="4">
        <v>1</v>
      </c>
      <c r="H60" s="4" t="s">
        <v>343</v>
      </c>
      <c r="I60" s="5"/>
      <c r="J60" s="5" t="s">
        <v>315</v>
      </c>
      <c r="K60" s="4" t="s">
        <v>354</v>
      </c>
      <c r="L60" s="4" t="s">
        <v>355</v>
      </c>
    </row>
    <row r="61" s="1" customFormat="1" ht="43.2" spans="2:12">
      <c r="B61" s="4" t="s">
        <v>356</v>
      </c>
      <c r="C61" s="4" t="s">
        <v>357</v>
      </c>
      <c r="D61" s="4" t="s">
        <v>229</v>
      </c>
      <c r="E61" s="4" t="s">
        <v>358</v>
      </c>
      <c r="F61" s="4" t="s">
        <v>40</v>
      </c>
      <c r="G61" s="4">
        <v>3</v>
      </c>
      <c r="H61" s="4" t="s">
        <v>343</v>
      </c>
      <c r="I61" s="5"/>
      <c r="J61" s="5" t="s">
        <v>315</v>
      </c>
      <c r="K61" s="4" t="s">
        <v>359</v>
      </c>
      <c r="L61" s="4" t="s">
        <v>360</v>
      </c>
    </row>
    <row r="62" s="1" customFormat="1" ht="43.2" spans="2:12">
      <c r="B62" s="4" t="s">
        <v>361</v>
      </c>
      <c r="C62" s="4" t="s">
        <v>362</v>
      </c>
      <c r="D62" s="4" t="s">
        <v>229</v>
      </c>
      <c r="E62" s="4" t="s">
        <v>363</v>
      </c>
      <c r="F62" s="4" t="s">
        <v>48</v>
      </c>
      <c r="G62" s="4">
        <v>2</v>
      </c>
      <c r="H62" s="4" t="s">
        <v>364</v>
      </c>
      <c r="I62" s="5"/>
      <c r="J62" s="5" t="s">
        <v>315</v>
      </c>
      <c r="K62" s="4" t="s">
        <v>365</v>
      </c>
      <c r="L62" s="4" t="s">
        <v>366</v>
      </c>
    </row>
    <row r="63" s="1" customFormat="1" ht="43.2" spans="2:12">
      <c r="B63" s="4" t="s">
        <v>367</v>
      </c>
      <c r="C63" s="4" t="s">
        <v>368</v>
      </c>
      <c r="D63" s="4" t="s">
        <v>229</v>
      </c>
      <c r="E63" s="4" t="s">
        <v>369</v>
      </c>
      <c r="F63" s="4" t="s">
        <v>48</v>
      </c>
      <c r="G63" s="4">
        <v>2</v>
      </c>
      <c r="H63" s="4" t="s">
        <v>364</v>
      </c>
      <c r="I63" s="5"/>
      <c r="J63" s="5" t="s">
        <v>315</v>
      </c>
      <c r="K63" s="4" t="s">
        <v>370</v>
      </c>
      <c r="L63" s="4" t="s">
        <v>371</v>
      </c>
    </row>
    <row r="64" s="1" customFormat="1" ht="43.2" spans="2:12">
      <c r="B64" s="4" t="s">
        <v>372</v>
      </c>
      <c r="C64" s="4" t="s">
        <v>373</v>
      </c>
      <c r="D64" s="4" t="s">
        <v>229</v>
      </c>
      <c r="E64" s="4" t="s">
        <v>374</v>
      </c>
      <c r="F64" s="4" t="s">
        <v>56</v>
      </c>
      <c r="G64" s="4">
        <v>1</v>
      </c>
      <c r="H64" s="4" t="s">
        <v>364</v>
      </c>
      <c r="I64" s="5"/>
      <c r="J64" s="5" t="s">
        <v>315</v>
      </c>
      <c r="K64" s="4" t="s">
        <v>375</v>
      </c>
      <c r="L64" s="4" t="s">
        <v>376</v>
      </c>
    </row>
    <row r="65" s="1" customFormat="1" ht="43.2" spans="2:12">
      <c r="B65" s="4" t="s">
        <v>377</v>
      </c>
      <c r="C65" s="4" t="s">
        <v>378</v>
      </c>
      <c r="D65" s="4" t="s">
        <v>229</v>
      </c>
      <c r="E65" s="4" t="s">
        <v>379</v>
      </c>
      <c r="F65" s="4" t="s">
        <v>40</v>
      </c>
      <c r="G65" s="4">
        <v>3</v>
      </c>
      <c r="H65" s="4" t="s">
        <v>16</v>
      </c>
      <c r="I65" s="5" t="s">
        <v>50</v>
      </c>
      <c r="J65" s="5" t="s">
        <v>42</v>
      </c>
      <c r="K65" s="4" t="s">
        <v>380</v>
      </c>
      <c r="L65" s="4" t="s">
        <v>381</v>
      </c>
    </row>
    <row r="66" s="1" customFormat="1" ht="43.2" spans="2:12">
      <c r="B66" s="4" t="s">
        <v>382</v>
      </c>
      <c r="C66" s="4" t="s">
        <v>383</v>
      </c>
      <c r="D66" s="4" t="s">
        <v>229</v>
      </c>
      <c r="E66" s="4" t="s">
        <v>384</v>
      </c>
      <c r="F66" s="4" t="s">
        <v>48</v>
      </c>
      <c r="G66" s="4">
        <v>2</v>
      </c>
      <c r="H66" s="4" t="s">
        <v>385</v>
      </c>
      <c r="I66" s="5" t="s">
        <v>50</v>
      </c>
      <c r="J66" s="5" t="s">
        <v>42</v>
      </c>
      <c r="K66" s="4" t="s">
        <v>386</v>
      </c>
      <c r="L66" s="4" t="s">
        <v>387</v>
      </c>
    </row>
    <row r="67" s="1" customFormat="1" ht="43.2" spans="2:12">
      <c r="B67" s="4" t="s">
        <v>388</v>
      </c>
      <c r="C67" s="4" t="s">
        <v>389</v>
      </c>
      <c r="D67" s="4" t="s">
        <v>229</v>
      </c>
      <c r="E67" s="4" t="s">
        <v>390</v>
      </c>
      <c r="F67" s="4" t="s">
        <v>48</v>
      </c>
      <c r="G67" s="4">
        <v>1</v>
      </c>
      <c r="H67" s="4" t="s">
        <v>385</v>
      </c>
      <c r="I67" s="5" t="s">
        <v>50</v>
      </c>
      <c r="J67" s="5" t="s">
        <v>42</v>
      </c>
      <c r="K67" s="4" t="s">
        <v>391</v>
      </c>
      <c r="L67" s="4" t="s">
        <v>392</v>
      </c>
    </row>
    <row r="68" s="1" customFormat="1" ht="43.2" spans="2:12">
      <c r="B68" s="4" t="s">
        <v>393</v>
      </c>
      <c r="C68" s="4" t="s">
        <v>394</v>
      </c>
      <c r="D68" s="4" t="s">
        <v>229</v>
      </c>
      <c r="E68" s="4" t="s">
        <v>395</v>
      </c>
      <c r="F68" s="4" t="s">
        <v>56</v>
      </c>
      <c r="G68" s="4">
        <v>1</v>
      </c>
      <c r="H68" s="4" t="s">
        <v>385</v>
      </c>
      <c r="I68" s="5" t="s">
        <v>50</v>
      </c>
      <c r="J68" s="5" t="s">
        <v>42</v>
      </c>
      <c r="K68" s="4" t="s">
        <v>396</v>
      </c>
      <c r="L68" s="4" t="s">
        <v>397</v>
      </c>
    </row>
    <row r="69" s="1" customFormat="1" ht="43.2" spans="2:12">
      <c r="B69" s="4" t="s">
        <v>398</v>
      </c>
      <c r="C69" s="4" t="s">
        <v>399</v>
      </c>
      <c r="D69" s="4" t="s">
        <v>400</v>
      </c>
      <c r="E69" s="4" t="s">
        <v>401</v>
      </c>
      <c r="F69" s="4" t="s">
        <v>40</v>
      </c>
      <c r="G69" s="4">
        <v>3</v>
      </c>
      <c r="H69" s="4" t="s">
        <v>299</v>
      </c>
      <c r="I69" s="5"/>
      <c r="J69" s="5" t="s">
        <v>315</v>
      </c>
      <c r="K69" s="4" t="s">
        <v>402</v>
      </c>
      <c r="L69" s="4" t="s">
        <v>403</v>
      </c>
    </row>
    <row r="70" s="1" customFormat="1" ht="43.2" spans="2:12">
      <c r="B70" s="4" t="s">
        <v>404</v>
      </c>
      <c r="C70" s="4" t="s">
        <v>405</v>
      </c>
      <c r="D70" s="4" t="s">
        <v>400</v>
      </c>
      <c r="E70" s="4" t="s">
        <v>406</v>
      </c>
      <c r="F70" s="4" t="s">
        <v>48</v>
      </c>
      <c r="G70" s="4">
        <v>2</v>
      </c>
      <c r="H70" s="4" t="s">
        <v>407</v>
      </c>
      <c r="I70" s="5"/>
      <c r="J70" s="5" t="s">
        <v>315</v>
      </c>
      <c r="K70" s="4" t="s">
        <v>408</v>
      </c>
      <c r="L70" s="4" t="s">
        <v>409</v>
      </c>
    </row>
    <row r="71" s="1" customFormat="1" ht="43.2" spans="2:12">
      <c r="B71" s="4" t="s">
        <v>410</v>
      </c>
      <c r="C71" s="4" t="s">
        <v>411</v>
      </c>
      <c r="D71" s="4" t="s">
        <v>400</v>
      </c>
      <c r="E71" s="4" t="s">
        <v>412</v>
      </c>
      <c r="F71" s="4" t="s">
        <v>48</v>
      </c>
      <c r="G71" s="4">
        <v>1</v>
      </c>
      <c r="H71" s="4" t="s">
        <v>407</v>
      </c>
      <c r="I71" s="5"/>
      <c r="J71" s="5" t="s">
        <v>315</v>
      </c>
      <c r="K71" s="4" t="s">
        <v>413</v>
      </c>
      <c r="L71" s="4" t="s">
        <v>414</v>
      </c>
    </row>
    <row r="72" s="1" customFormat="1" ht="43.2" spans="2:12">
      <c r="B72" s="4" t="s">
        <v>415</v>
      </c>
      <c r="C72" s="4" t="s">
        <v>416</v>
      </c>
      <c r="D72" s="4" t="s">
        <v>400</v>
      </c>
      <c r="E72" s="4" t="s">
        <v>417</v>
      </c>
      <c r="F72" s="4" t="s">
        <v>56</v>
      </c>
      <c r="G72" s="4">
        <v>1</v>
      </c>
      <c r="H72" s="4" t="s">
        <v>407</v>
      </c>
      <c r="I72" s="5"/>
      <c r="J72" s="5" t="s">
        <v>315</v>
      </c>
      <c r="K72" s="4" t="s">
        <v>418</v>
      </c>
      <c r="L72" s="4" t="s">
        <v>419</v>
      </c>
    </row>
    <row r="73" s="1" customFormat="1" ht="43.2" spans="2:12">
      <c r="B73" s="4" t="s">
        <v>420</v>
      </c>
      <c r="C73" s="4" t="s">
        <v>421</v>
      </c>
      <c r="D73" s="4" t="s">
        <v>400</v>
      </c>
      <c r="E73" s="4" t="s">
        <v>422</v>
      </c>
      <c r="F73" s="4" t="s">
        <v>40</v>
      </c>
      <c r="G73" s="4">
        <v>3</v>
      </c>
      <c r="H73" s="4" t="s">
        <v>407</v>
      </c>
      <c r="I73" s="5"/>
      <c r="J73" s="5" t="s">
        <v>315</v>
      </c>
      <c r="K73" s="4" t="s">
        <v>423</v>
      </c>
      <c r="L73" s="4" t="s">
        <v>424</v>
      </c>
    </row>
    <row r="74" s="1" customFormat="1" ht="43.2" spans="2:12">
      <c r="B74" s="4" t="s">
        <v>425</v>
      </c>
      <c r="C74" s="4" t="s">
        <v>426</v>
      </c>
      <c r="D74" s="4" t="s">
        <v>400</v>
      </c>
      <c r="E74" s="4" t="s">
        <v>427</v>
      </c>
      <c r="F74" s="4" t="s">
        <v>48</v>
      </c>
      <c r="G74" s="4">
        <v>2</v>
      </c>
      <c r="H74" s="4" t="s">
        <v>428</v>
      </c>
      <c r="I74" s="5"/>
      <c r="J74" s="5" t="s">
        <v>315</v>
      </c>
      <c r="K74" s="4" t="s">
        <v>429</v>
      </c>
      <c r="L74" s="4" t="s">
        <v>430</v>
      </c>
    </row>
    <row r="75" s="1" customFormat="1" ht="43.2" spans="2:12">
      <c r="B75" s="4" t="s">
        <v>431</v>
      </c>
      <c r="C75" s="4" t="s">
        <v>432</v>
      </c>
      <c r="D75" s="4" t="s">
        <v>400</v>
      </c>
      <c r="E75" s="4" t="s">
        <v>433</v>
      </c>
      <c r="F75" s="4" t="s">
        <v>48</v>
      </c>
      <c r="G75" s="4">
        <v>1</v>
      </c>
      <c r="H75" s="4" t="s">
        <v>428</v>
      </c>
      <c r="I75" s="5"/>
      <c r="J75" s="5" t="s">
        <v>315</v>
      </c>
      <c r="K75" s="4" t="s">
        <v>434</v>
      </c>
      <c r="L75" s="4" t="s">
        <v>435</v>
      </c>
    </row>
    <row r="76" s="1" customFormat="1" ht="43.2" spans="2:12">
      <c r="B76" s="4" t="s">
        <v>436</v>
      </c>
      <c r="C76" s="4" t="s">
        <v>437</v>
      </c>
      <c r="D76" s="4" t="s">
        <v>400</v>
      </c>
      <c r="E76" s="4" t="s">
        <v>438</v>
      </c>
      <c r="F76" s="4" t="s">
        <v>56</v>
      </c>
      <c r="G76" s="4">
        <v>1</v>
      </c>
      <c r="H76" s="4" t="s">
        <v>428</v>
      </c>
      <c r="I76" s="5"/>
      <c r="J76" s="5" t="s">
        <v>315</v>
      </c>
      <c r="K76" s="4" t="s">
        <v>439</v>
      </c>
      <c r="L76" s="4" t="s">
        <v>440</v>
      </c>
    </row>
    <row r="77" s="1" customFormat="1" ht="43.2" spans="2:12">
      <c r="B77" s="4" t="s">
        <v>441</v>
      </c>
      <c r="C77" s="4" t="s">
        <v>442</v>
      </c>
      <c r="D77" s="4" t="s">
        <v>443</v>
      </c>
      <c r="E77" s="4" t="s">
        <v>444</v>
      </c>
      <c r="F77" s="4" t="s">
        <v>40</v>
      </c>
      <c r="G77" s="4">
        <v>3</v>
      </c>
      <c r="H77" s="4" t="s">
        <v>125</v>
      </c>
      <c r="I77" s="5"/>
      <c r="J77" s="5" t="s">
        <v>315</v>
      </c>
      <c r="K77" s="4" t="s">
        <v>445</v>
      </c>
      <c r="L77" s="4" t="s">
        <v>446</v>
      </c>
    </row>
    <row r="78" s="1" customFormat="1" ht="43.2" spans="2:12">
      <c r="B78" s="4" t="s">
        <v>447</v>
      </c>
      <c r="C78" s="4" t="s">
        <v>448</v>
      </c>
      <c r="D78" s="4" t="s">
        <v>443</v>
      </c>
      <c r="E78" s="4" t="s">
        <v>449</v>
      </c>
      <c r="F78" s="4" t="s">
        <v>48</v>
      </c>
      <c r="G78" s="4">
        <v>2</v>
      </c>
      <c r="H78" s="4" t="s">
        <v>450</v>
      </c>
      <c r="I78" s="5"/>
      <c r="J78" s="5" t="s">
        <v>315</v>
      </c>
      <c r="K78" s="4" t="s">
        <v>408</v>
      </c>
      <c r="L78" s="4" t="s">
        <v>451</v>
      </c>
    </row>
    <row r="79" s="1" customFormat="1" ht="43.2" spans="2:12">
      <c r="B79" s="4" t="s">
        <v>452</v>
      </c>
      <c r="C79" s="4" t="s">
        <v>453</v>
      </c>
      <c r="D79" s="4" t="s">
        <v>443</v>
      </c>
      <c r="E79" s="4" t="s">
        <v>454</v>
      </c>
      <c r="F79" s="4" t="s">
        <v>48</v>
      </c>
      <c r="G79" s="4">
        <v>1</v>
      </c>
      <c r="H79" s="4" t="s">
        <v>450</v>
      </c>
      <c r="I79" s="5"/>
      <c r="J79" s="5" t="s">
        <v>315</v>
      </c>
      <c r="K79" s="4" t="s">
        <v>455</v>
      </c>
      <c r="L79" s="4" t="s">
        <v>456</v>
      </c>
    </row>
    <row r="80" s="1" customFormat="1" ht="43.2" spans="2:12">
      <c r="B80" s="4" t="s">
        <v>457</v>
      </c>
      <c r="C80" s="4" t="s">
        <v>458</v>
      </c>
      <c r="D80" s="4" t="s">
        <v>443</v>
      </c>
      <c r="E80" s="4" t="s">
        <v>459</v>
      </c>
      <c r="F80" s="4" t="s">
        <v>56</v>
      </c>
      <c r="G80" s="4">
        <v>1</v>
      </c>
      <c r="H80" s="4" t="s">
        <v>450</v>
      </c>
      <c r="I80" s="5"/>
      <c r="J80" s="5" t="s">
        <v>315</v>
      </c>
      <c r="K80" s="4" t="s">
        <v>460</v>
      </c>
      <c r="L80" s="4" t="s">
        <v>461</v>
      </c>
    </row>
    <row r="81" s="1" customFormat="1" ht="43.2" spans="2:12">
      <c r="B81" s="4" t="s">
        <v>462</v>
      </c>
      <c r="C81" s="4" t="s">
        <v>463</v>
      </c>
      <c r="D81" s="4" t="s">
        <v>443</v>
      </c>
      <c r="E81" s="4" t="s">
        <v>464</v>
      </c>
      <c r="F81" s="4" t="s">
        <v>40</v>
      </c>
      <c r="G81" s="4">
        <v>5</v>
      </c>
      <c r="H81" s="4" t="s">
        <v>465</v>
      </c>
      <c r="I81" s="5"/>
      <c r="J81" s="5" t="s">
        <v>315</v>
      </c>
      <c r="K81" s="4" t="s">
        <v>466</v>
      </c>
      <c r="L81" s="4" t="s">
        <v>467</v>
      </c>
    </row>
    <row r="82" s="1" customFormat="1" ht="43.2" spans="2:12">
      <c r="B82" s="4" t="s">
        <v>468</v>
      </c>
      <c r="C82" s="4" t="s">
        <v>469</v>
      </c>
      <c r="D82" s="4" t="s">
        <v>443</v>
      </c>
      <c r="E82" s="4" t="s">
        <v>470</v>
      </c>
      <c r="F82" s="4" t="s">
        <v>48</v>
      </c>
      <c r="G82" s="4">
        <v>2</v>
      </c>
      <c r="H82" s="4" t="s">
        <v>471</v>
      </c>
      <c r="I82" s="5"/>
      <c r="J82" s="5" t="s">
        <v>315</v>
      </c>
      <c r="K82" s="4" t="s">
        <v>472</v>
      </c>
      <c r="L82" s="4" t="s">
        <v>473</v>
      </c>
    </row>
    <row r="83" s="1" customFormat="1" ht="57.6" spans="2:12">
      <c r="B83" s="4" t="s">
        <v>474</v>
      </c>
      <c r="C83" s="4" t="s">
        <v>475</v>
      </c>
      <c r="D83" s="4" t="s">
        <v>443</v>
      </c>
      <c r="E83" s="4" t="s">
        <v>476</v>
      </c>
      <c r="F83" s="4" t="s">
        <v>40</v>
      </c>
      <c r="G83" s="4">
        <v>5</v>
      </c>
      <c r="H83" s="4" t="s">
        <v>477</v>
      </c>
      <c r="I83" s="6"/>
      <c r="J83" s="5" t="s">
        <v>315</v>
      </c>
      <c r="K83" s="4" t="s">
        <v>478</v>
      </c>
      <c r="L83" s="4" t="s">
        <v>479</v>
      </c>
    </row>
    <row r="84" s="1" customFormat="1" ht="43.2" spans="2:12">
      <c r="B84" s="4" t="s">
        <v>480</v>
      </c>
      <c r="C84" s="4" t="s">
        <v>481</v>
      </c>
      <c r="D84" s="4" t="s">
        <v>443</v>
      </c>
      <c r="E84" s="4" t="s">
        <v>482</v>
      </c>
      <c r="F84" s="4" t="s">
        <v>48</v>
      </c>
      <c r="G84" s="4">
        <v>2</v>
      </c>
      <c r="H84" s="4" t="s">
        <v>483</v>
      </c>
      <c r="I84" s="6"/>
      <c r="J84" s="5" t="s">
        <v>315</v>
      </c>
      <c r="K84" s="4" t="s">
        <v>484</v>
      </c>
      <c r="L84" s="4" t="s">
        <v>485</v>
      </c>
    </row>
    <row r="85" s="1" customFormat="1" ht="43.2" spans="2:12">
      <c r="B85" s="4" t="s">
        <v>486</v>
      </c>
      <c r="C85" s="4" t="s">
        <v>487</v>
      </c>
      <c r="D85" s="4" t="s">
        <v>443</v>
      </c>
      <c r="E85" s="4" t="s">
        <v>488</v>
      </c>
      <c r="F85" s="4" t="s">
        <v>48</v>
      </c>
      <c r="G85" s="4">
        <v>2</v>
      </c>
      <c r="H85" s="4" t="s">
        <v>483</v>
      </c>
      <c r="I85" s="6"/>
      <c r="J85" s="5" t="s">
        <v>315</v>
      </c>
      <c r="K85" s="4" t="s">
        <v>489</v>
      </c>
      <c r="L85" s="4" t="s">
        <v>490</v>
      </c>
    </row>
    <row r="86" s="1" customFormat="1" ht="43.2" spans="2:12">
      <c r="B86" s="4" t="s">
        <v>491</v>
      </c>
      <c r="C86" s="4" t="s">
        <v>492</v>
      </c>
      <c r="D86" s="4" t="s">
        <v>443</v>
      </c>
      <c r="E86" s="4" t="s">
        <v>493</v>
      </c>
      <c r="F86" s="4" t="s">
        <v>56</v>
      </c>
      <c r="G86" s="4">
        <v>1</v>
      </c>
      <c r="H86" s="4" t="s">
        <v>483</v>
      </c>
      <c r="I86" s="6"/>
      <c r="J86" s="5" t="s">
        <v>315</v>
      </c>
      <c r="K86" s="4" t="s">
        <v>494</v>
      </c>
      <c r="L86" s="4" t="s">
        <v>495</v>
      </c>
    </row>
    <row r="87" s="1" customFormat="1" ht="43.2" spans="2:12">
      <c r="B87" s="4" t="s">
        <v>496</v>
      </c>
      <c r="C87" s="4" t="s">
        <v>497</v>
      </c>
      <c r="D87" s="4" t="s">
        <v>443</v>
      </c>
      <c r="E87" s="4" t="s">
        <v>498</v>
      </c>
      <c r="F87" s="4" t="s">
        <v>40</v>
      </c>
      <c r="G87" s="4">
        <v>3</v>
      </c>
      <c r="H87" s="4" t="s">
        <v>499</v>
      </c>
      <c r="I87" s="6"/>
      <c r="J87" s="5" t="s">
        <v>315</v>
      </c>
      <c r="K87" s="4" t="s">
        <v>500</v>
      </c>
      <c r="L87" s="4" t="s">
        <v>501</v>
      </c>
    </row>
    <row r="88" s="1" customFormat="1" ht="43.2" spans="2:12">
      <c r="B88" s="4" t="s">
        <v>502</v>
      </c>
      <c r="C88" s="4" t="s">
        <v>503</v>
      </c>
      <c r="D88" s="4" t="s">
        <v>504</v>
      </c>
      <c r="E88" s="4" t="s">
        <v>505</v>
      </c>
      <c r="F88" s="4" t="s">
        <v>40</v>
      </c>
      <c r="G88" s="4">
        <v>3</v>
      </c>
      <c r="H88" s="4" t="s">
        <v>506</v>
      </c>
      <c r="I88" s="5"/>
      <c r="J88" s="5" t="s">
        <v>315</v>
      </c>
      <c r="K88" s="4" t="s">
        <v>507</v>
      </c>
      <c r="L88" s="4" t="s">
        <v>508</v>
      </c>
    </row>
    <row r="89" s="1" customFormat="1" ht="43.2" spans="2:12">
      <c r="B89" s="4" t="s">
        <v>509</v>
      </c>
      <c r="C89" s="4" t="s">
        <v>510</v>
      </c>
      <c r="D89" s="4" t="s">
        <v>504</v>
      </c>
      <c r="E89" s="4" t="s">
        <v>511</v>
      </c>
      <c r="F89" s="4" t="s">
        <v>48</v>
      </c>
      <c r="G89" s="4">
        <v>2</v>
      </c>
      <c r="H89" s="4" t="s">
        <v>512</v>
      </c>
      <c r="I89" s="5"/>
      <c r="J89" s="5" t="s">
        <v>315</v>
      </c>
      <c r="K89" s="4" t="s">
        <v>513</v>
      </c>
      <c r="L89" s="4" t="s">
        <v>514</v>
      </c>
    </row>
    <row r="90" s="1" customFormat="1" ht="43.2" spans="2:12">
      <c r="B90" s="4" t="s">
        <v>515</v>
      </c>
      <c r="C90" s="4" t="s">
        <v>516</v>
      </c>
      <c r="D90" s="4" t="s">
        <v>504</v>
      </c>
      <c r="E90" s="4" t="s">
        <v>517</v>
      </c>
      <c r="F90" s="4" t="s">
        <v>48</v>
      </c>
      <c r="G90" s="4">
        <v>2</v>
      </c>
      <c r="H90" s="4" t="s">
        <v>512</v>
      </c>
      <c r="I90" s="5"/>
      <c r="J90" s="5" t="s">
        <v>315</v>
      </c>
      <c r="K90" s="4" t="s">
        <v>518</v>
      </c>
      <c r="L90" s="4" t="s">
        <v>519</v>
      </c>
    </row>
    <row r="91" s="1" customFormat="1" ht="43.2" spans="2:12">
      <c r="B91" s="4" t="s">
        <v>520</v>
      </c>
      <c r="C91" s="4" t="s">
        <v>521</v>
      </c>
      <c r="D91" s="4" t="s">
        <v>504</v>
      </c>
      <c r="E91" s="4" t="s">
        <v>522</v>
      </c>
      <c r="F91" s="4" t="s">
        <v>56</v>
      </c>
      <c r="G91" s="4">
        <v>1</v>
      </c>
      <c r="H91" s="4" t="s">
        <v>512</v>
      </c>
      <c r="I91" s="5"/>
      <c r="J91" s="5" t="s">
        <v>315</v>
      </c>
      <c r="K91" s="4" t="s">
        <v>523</v>
      </c>
      <c r="L91" s="4" t="s">
        <v>495</v>
      </c>
    </row>
    <row r="92" s="1" customFormat="1" ht="43.2" spans="2:12">
      <c r="B92" s="4" t="s">
        <v>524</v>
      </c>
      <c r="C92" s="4" t="s">
        <v>525</v>
      </c>
      <c r="D92" s="4" t="s">
        <v>504</v>
      </c>
      <c r="E92" s="4" t="s">
        <v>526</v>
      </c>
      <c r="F92" s="4" t="s">
        <v>48</v>
      </c>
      <c r="G92" s="4">
        <v>2</v>
      </c>
      <c r="H92" s="4" t="s">
        <v>527</v>
      </c>
      <c r="I92" s="5"/>
      <c r="J92" s="5" t="s">
        <v>315</v>
      </c>
      <c r="K92" s="4" t="s">
        <v>528</v>
      </c>
      <c r="L92" s="4" t="s">
        <v>529</v>
      </c>
    </row>
    <row r="93" s="1" customFormat="1" ht="57.6" spans="2:12">
      <c r="B93" s="4" t="s">
        <v>530</v>
      </c>
      <c r="C93" s="4" t="s">
        <v>531</v>
      </c>
      <c r="D93" s="4" t="s">
        <v>504</v>
      </c>
      <c r="E93" s="4" t="s">
        <v>532</v>
      </c>
      <c r="F93" s="4" t="s">
        <v>40</v>
      </c>
      <c r="G93" s="4">
        <v>5</v>
      </c>
      <c r="H93" s="4" t="s">
        <v>533</v>
      </c>
      <c r="I93" s="6"/>
      <c r="J93" s="5" t="s">
        <v>315</v>
      </c>
      <c r="K93" s="4" t="s">
        <v>534</v>
      </c>
      <c r="L93" s="4" t="s">
        <v>535</v>
      </c>
    </row>
    <row r="94" s="1" customFormat="1" ht="57.6" spans="2:12">
      <c r="B94" s="4" t="s">
        <v>536</v>
      </c>
      <c r="C94" s="4" t="s">
        <v>537</v>
      </c>
      <c r="D94" s="4" t="s">
        <v>504</v>
      </c>
      <c r="E94" s="4" t="s">
        <v>538</v>
      </c>
      <c r="F94" s="4" t="s">
        <v>40</v>
      </c>
      <c r="G94" s="4">
        <v>2</v>
      </c>
      <c r="H94" s="4" t="s">
        <v>539</v>
      </c>
      <c r="I94" s="5"/>
      <c r="J94" s="5" t="s">
        <v>315</v>
      </c>
      <c r="K94" s="4" t="s">
        <v>540</v>
      </c>
      <c r="L94" s="4" t="s">
        <v>541</v>
      </c>
    </row>
    <row r="95" s="1" customFormat="1" ht="57.6" spans="2:12">
      <c r="B95" s="4" t="s">
        <v>542</v>
      </c>
      <c r="C95" s="4" t="s">
        <v>543</v>
      </c>
      <c r="D95" s="4" t="s">
        <v>504</v>
      </c>
      <c r="E95" s="4" t="s">
        <v>544</v>
      </c>
      <c r="F95" s="4" t="s">
        <v>48</v>
      </c>
      <c r="G95" s="4">
        <v>3</v>
      </c>
      <c r="H95" s="4" t="s">
        <v>545</v>
      </c>
      <c r="I95" s="5"/>
      <c r="J95" s="5" t="s">
        <v>315</v>
      </c>
      <c r="K95" s="4" t="s">
        <v>546</v>
      </c>
      <c r="L95" s="4" t="s">
        <v>547</v>
      </c>
    </row>
    <row r="96" s="1" customFormat="1" ht="57.6" spans="2:12">
      <c r="B96" s="4" t="s">
        <v>548</v>
      </c>
      <c r="C96" s="4" t="s">
        <v>549</v>
      </c>
      <c r="D96" s="4" t="s">
        <v>504</v>
      </c>
      <c r="E96" s="4" t="s">
        <v>550</v>
      </c>
      <c r="F96" s="4" t="s">
        <v>48</v>
      </c>
      <c r="G96" s="4">
        <v>2</v>
      </c>
      <c r="H96" s="4" t="s">
        <v>551</v>
      </c>
      <c r="I96" s="5"/>
      <c r="J96" s="5" t="s">
        <v>315</v>
      </c>
      <c r="K96" s="4" t="s">
        <v>552</v>
      </c>
      <c r="L96" s="4" t="s">
        <v>553</v>
      </c>
    </row>
    <row r="97" s="1" customFormat="1" ht="43.2" spans="2:12">
      <c r="B97" s="4" t="s">
        <v>554</v>
      </c>
      <c r="C97" s="4" t="s">
        <v>555</v>
      </c>
      <c r="D97" s="4" t="s">
        <v>504</v>
      </c>
      <c r="E97" s="4" t="s">
        <v>556</v>
      </c>
      <c r="F97" s="4" t="s">
        <v>48</v>
      </c>
      <c r="G97" s="4">
        <v>2</v>
      </c>
      <c r="H97" s="4" t="s">
        <v>551</v>
      </c>
      <c r="I97" s="5"/>
      <c r="J97" s="5" t="s">
        <v>315</v>
      </c>
      <c r="K97" s="4" t="s">
        <v>557</v>
      </c>
      <c r="L97" s="4" t="s">
        <v>558</v>
      </c>
    </row>
    <row r="98" s="1" customFormat="1" ht="43.2" spans="2:12">
      <c r="B98" s="4" t="s">
        <v>559</v>
      </c>
      <c r="C98" s="4" t="s">
        <v>560</v>
      </c>
      <c r="D98" s="4" t="s">
        <v>504</v>
      </c>
      <c r="E98" s="4" t="s">
        <v>561</v>
      </c>
      <c r="F98" s="4" t="s">
        <v>56</v>
      </c>
      <c r="G98" s="4">
        <v>1</v>
      </c>
      <c r="H98" s="4" t="s">
        <v>551</v>
      </c>
      <c r="I98" s="5"/>
      <c r="J98" s="5" t="s">
        <v>315</v>
      </c>
      <c r="K98" s="4" t="s">
        <v>562</v>
      </c>
      <c r="L98" s="4" t="s">
        <v>495</v>
      </c>
    </row>
    <row r="99" s="1" customFormat="1" ht="43.2" spans="2:12">
      <c r="B99" s="4" t="s">
        <v>563</v>
      </c>
      <c r="C99" s="4" t="s">
        <v>564</v>
      </c>
      <c r="D99" s="4" t="s">
        <v>565</v>
      </c>
      <c r="E99" s="4" t="s">
        <v>566</v>
      </c>
      <c r="F99" s="4" t="s">
        <v>40</v>
      </c>
      <c r="G99" s="4">
        <v>3</v>
      </c>
      <c r="H99" s="4" t="s">
        <v>567</v>
      </c>
      <c r="I99" s="5"/>
      <c r="J99" s="5" t="s">
        <v>315</v>
      </c>
      <c r="K99" s="4" t="s">
        <v>568</v>
      </c>
      <c r="L99" s="4" t="s">
        <v>569</v>
      </c>
    </row>
    <row r="100" s="1" customFormat="1" ht="43.2" spans="2:12">
      <c r="B100" s="4" t="s">
        <v>570</v>
      </c>
      <c r="C100" s="4" t="s">
        <v>571</v>
      </c>
      <c r="D100" s="4" t="s">
        <v>565</v>
      </c>
      <c r="E100" s="4" t="s">
        <v>572</v>
      </c>
      <c r="F100" s="4" t="s">
        <v>48</v>
      </c>
      <c r="G100" s="4">
        <v>2</v>
      </c>
      <c r="H100" s="4" t="s">
        <v>573</v>
      </c>
      <c r="I100" s="5"/>
      <c r="J100" s="5" t="s">
        <v>315</v>
      </c>
      <c r="K100" s="4" t="s">
        <v>574</v>
      </c>
      <c r="L100" s="4" t="s">
        <v>514</v>
      </c>
    </row>
    <row r="101" s="1" customFormat="1" ht="43.2" spans="2:12">
      <c r="B101" s="4" t="s">
        <v>575</v>
      </c>
      <c r="C101" s="4" t="s">
        <v>576</v>
      </c>
      <c r="D101" s="4" t="s">
        <v>565</v>
      </c>
      <c r="E101" s="4" t="s">
        <v>577</v>
      </c>
      <c r="F101" s="4" t="s">
        <v>48</v>
      </c>
      <c r="G101" s="4">
        <v>2</v>
      </c>
      <c r="H101" s="4" t="s">
        <v>573</v>
      </c>
      <c r="I101" s="5"/>
      <c r="J101" s="5" t="s">
        <v>315</v>
      </c>
      <c r="K101" s="4" t="s">
        <v>578</v>
      </c>
      <c r="L101" s="4" t="s">
        <v>579</v>
      </c>
    </row>
    <row r="102" s="1" customFormat="1" ht="43.2" spans="2:12">
      <c r="B102" s="4" t="s">
        <v>580</v>
      </c>
      <c r="C102" s="4" t="s">
        <v>581</v>
      </c>
      <c r="D102" s="4" t="s">
        <v>565</v>
      </c>
      <c r="E102" s="4" t="s">
        <v>582</v>
      </c>
      <c r="F102" s="4" t="s">
        <v>56</v>
      </c>
      <c r="G102" s="4">
        <v>1</v>
      </c>
      <c r="H102" s="4" t="s">
        <v>573</v>
      </c>
      <c r="I102" s="5"/>
      <c r="J102" s="5" t="s">
        <v>315</v>
      </c>
      <c r="K102" s="4" t="s">
        <v>583</v>
      </c>
      <c r="L102" s="4" t="s">
        <v>495</v>
      </c>
    </row>
    <row r="103" s="1" customFormat="1" ht="43.2" spans="2:12">
      <c r="B103" s="4" t="s">
        <v>584</v>
      </c>
      <c r="C103" s="4" t="s">
        <v>585</v>
      </c>
      <c r="D103" s="4" t="s">
        <v>565</v>
      </c>
      <c r="E103" s="4" t="s">
        <v>586</v>
      </c>
      <c r="F103" s="4" t="s">
        <v>40</v>
      </c>
      <c r="G103" s="4">
        <v>2</v>
      </c>
      <c r="H103" s="4" t="s">
        <v>573</v>
      </c>
      <c r="I103" s="5"/>
      <c r="J103" s="5" t="s">
        <v>315</v>
      </c>
      <c r="K103" s="4" t="s">
        <v>587</v>
      </c>
      <c r="L103" s="4" t="s">
        <v>588</v>
      </c>
    </row>
    <row r="104" s="1" customFormat="1" ht="57.6" spans="2:12">
      <c r="B104" s="4" t="s">
        <v>589</v>
      </c>
      <c r="C104" s="4" t="s">
        <v>590</v>
      </c>
      <c r="D104" s="4" t="s">
        <v>565</v>
      </c>
      <c r="E104" s="4" t="s">
        <v>591</v>
      </c>
      <c r="F104" s="4" t="s">
        <v>40</v>
      </c>
      <c r="G104" s="4">
        <v>3</v>
      </c>
      <c r="H104" s="4" t="s">
        <v>592</v>
      </c>
      <c r="I104" s="5"/>
      <c r="J104" s="5" t="s">
        <v>315</v>
      </c>
      <c r="K104" s="4" t="s">
        <v>593</v>
      </c>
      <c r="L104" s="4" t="s">
        <v>594</v>
      </c>
    </row>
    <row r="105" s="1" customFormat="1" ht="57.6" spans="2:12">
      <c r="B105" s="4" t="s">
        <v>595</v>
      </c>
      <c r="C105" s="4" t="s">
        <v>596</v>
      </c>
      <c r="D105" s="4" t="s">
        <v>565</v>
      </c>
      <c r="E105" s="4" t="s">
        <v>597</v>
      </c>
      <c r="F105" s="4" t="s">
        <v>48</v>
      </c>
      <c r="G105" s="4">
        <v>3</v>
      </c>
      <c r="H105" s="4" t="s">
        <v>598</v>
      </c>
      <c r="I105" s="5"/>
      <c r="J105" s="5" t="s">
        <v>315</v>
      </c>
      <c r="K105" s="4" t="s">
        <v>599</v>
      </c>
      <c r="L105" s="4" t="s">
        <v>600</v>
      </c>
    </row>
    <row r="106" s="1" customFormat="1" ht="43.2" spans="2:12">
      <c r="B106" s="4" t="s">
        <v>601</v>
      </c>
      <c r="C106" s="4" t="s">
        <v>602</v>
      </c>
      <c r="D106" s="4" t="s">
        <v>565</v>
      </c>
      <c r="E106" s="4" t="s">
        <v>603</v>
      </c>
      <c r="F106" s="4" t="s">
        <v>48</v>
      </c>
      <c r="G106" s="4">
        <v>2</v>
      </c>
      <c r="H106" s="4" t="s">
        <v>604</v>
      </c>
      <c r="I106" s="5"/>
      <c r="J106" s="5" t="s">
        <v>315</v>
      </c>
      <c r="K106" s="4" t="s">
        <v>605</v>
      </c>
      <c r="L106" s="4" t="s">
        <v>606</v>
      </c>
    </row>
    <row r="107" s="1" customFormat="1" ht="28.8" spans="2:12">
      <c r="B107" s="4" t="s">
        <v>607</v>
      </c>
      <c r="C107" s="4" t="s">
        <v>608</v>
      </c>
      <c r="D107" s="4" t="s">
        <v>565</v>
      </c>
      <c r="E107" s="4" t="s">
        <v>609</v>
      </c>
      <c r="F107" s="4" t="s">
        <v>48</v>
      </c>
      <c r="G107" s="4">
        <v>1</v>
      </c>
      <c r="H107" s="4" t="s">
        <v>604</v>
      </c>
      <c r="I107" s="5"/>
      <c r="J107" s="5" t="s">
        <v>315</v>
      </c>
      <c r="K107" s="4" t="s">
        <v>610</v>
      </c>
      <c r="L107" s="4" t="s">
        <v>558</v>
      </c>
    </row>
    <row r="108" s="1" customFormat="1" ht="43.2" spans="2:12">
      <c r="B108" s="4" t="s">
        <v>611</v>
      </c>
      <c r="C108" s="4" t="s">
        <v>612</v>
      </c>
      <c r="D108" s="4" t="s">
        <v>565</v>
      </c>
      <c r="E108" s="4" t="s">
        <v>613</v>
      </c>
      <c r="F108" s="4" t="s">
        <v>56</v>
      </c>
      <c r="G108" s="4">
        <v>1</v>
      </c>
      <c r="H108" s="4" t="s">
        <v>604</v>
      </c>
      <c r="I108" s="5"/>
      <c r="J108" s="5" t="s">
        <v>315</v>
      </c>
      <c r="K108" s="4" t="s">
        <v>562</v>
      </c>
      <c r="L108" s="4" t="s">
        <v>495</v>
      </c>
    </row>
    <row r="109" s="1" customFormat="1" ht="43.2" spans="2:12">
      <c r="B109" s="4" t="s">
        <v>614</v>
      </c>
      <c r="C109" s="4" t="s">
        <v>615</v>
      </c>
      <c r="D109" s="4" t="s">
        <v>616</v>
      </c>
      <c r="E109" s="4" t="s">
        <v>617</v>
      </c>
      <c r="F109" s="4" t="s">
        <v>40</v>
      </c>
      <c r="G109" s="4">
        <v>3</v>
      </c>
      <c r="H109" s="4" t="s">
        <v>16</v>
      </c>
      <c r="I109" s="5"/>
      <c r="J109" s="5" t="s">
        <v>315</v>
      </c>
      <c r="K109" s="4" t="s">
        <v>618</v>
      </c>
      <c r="L109" s="4" t="s">
        <v>619</v>
      </c>
    </row>
    <row r="110" s="1" customFormat="1" ht="43.2" spans="2:12">
      <c r="B110" s="4" t="s">
        <v>620</v>
      </c>
      <c r="C110" s="4" t="s">
        <v>621</v>
      </c>
      <c r="D110" s="4" t="s">
        <v>616</v>
      </c>
      <c r="E110" s="4" t="s">
        <v>622</v>
      </c>
      <c r="F110" s="4" t="s">
        <v>48</v>
      </c>
      <c r="G110" s="4">
        <v>2</v>
      </c>
      <c r="H110" s="4" t="s">
        <v>623</v>
      </c>
      <c r="I110" s="5"/>
      <c r="J110" s="5" t="s">
        <v>315</v>
      </c>
      <c r="K110" s="4" t="s">
        <v>624</v>
      </c>
      <c r="L110" s="4" t="s">
        <v>625</v>
      </c>
    </row>
    <row r="111" s="1" customFormat="1" ht="43.2" spans="2:12">
      <c r="B111" s="4" t="s">
        <v>626</v>
      </c>
      <c r="C111" s="4" t="s">
        <v>627</v>
      </c>
      <c r="D111" s="4" t="s">
        <v>616</v>
      </c>
      <c r="E111" s="4" t="s">
        <v>628</v>
      </c>
      <c r="F111" s="4" t="s">
        <v>48</v>
      </c>
      <c r="G111" s="4">
        <v>2</v>
      </c>
      <c r="H111" s="4" t="s">
        <v>623</v>
      </c>
      <c r="I111" s="5"/>
      <c r="J111" s="5" t="s">
        <v>315</v>
      </c>
      <c r="K111" s="4" t="s">
        <v>629</v>
      </c>
      <c r="L111" s="4" t="s">
        <v>630</v>
      </c>
    </row>
    <row r="112" s="1" customFormat="1" ht="43.2" spans="2:12">
      <c r="B112" s="4" t="s">
        <v>631</v>
      </c>
      <c r="C112" s="4" t="s">
        <v>632</v>
      </c>
      <c r="D112" s="4" t="s">
        <v>616</v>
      </c>
      <c r="E112" s="4" t="s">
        <v>633</v>
      </c>
      <c r="F112" s="4" t="s">
        <v>56</v>
      </c>
      <c r="G112" s="4">
        <v>1</v>
      </c>
      <c r="H112" s="4" t="s">
        <v>623</v>
      </c>
      <c r="I112" s="5"/>
      <c r="J112" s="5" t="s">
        <v>315</v>
      </c>
      <c r="K112" s="4" t="s">
        <v>634</v>
      </c>
      <c r="L112" s="4" t="s">
        <v>333</v>
      </c>
    </row>
    <row r="113" s="1" customFormat="1" ht="57.6" spans="2:12">
      <c r="B113" s="4" t="s">
        <v>635</v>
      </c>
      <c r="C113" s="4" t="s">
        <v>636</v>
      </c>
      <c r="D113" s="4" t="s">
        <v>616</v>
      </c>
      <c r="E113" s="4" t="s">
        <v>637</v>
      </c>
      <c r="F113" s="4" t="s">
        <v>40</v>
      </c>
      <c r="G113" s="4">
        <v>5</v>
      </c>
      <c r="H113" s="4" t="s">
        <v>638</v>
      </c>
      <c r="I113" s="5"/>
      <c r="J113" s="5" t="s">
        <v>315</v>
      </c>
      <c r="K113" s="4" t="s">
        <v>639</v>
      </c>
      <c r="L113" s="4" t="s">
        <v>640</v>
      </c>
    </row>
    <row r="114" s="1" customFormat="1" ht="43.2" spans="2:12">
      <c r="B114" s="4" t="s">
        <v>641</v>
      </c>
      <c r="C114" s="4" t="s">
        <v>642</v>
      </c>
      <c r="D114" s="4" t="s">
        <v>616</v>
      </c>
      <c r="E114" s="4" t="s">
        <v>643</v>
      </c>
      <c r="F114" s="4" t="s">
        <v>48</v>
      </c>
      <c r="G114" s="4">
        <v>2</v>
      </c>
      <c r="H114" s="4" t="s">
        <v>644</v>
      </c>
      <c r="I114" s="5"/>
      <c r="J114" s="5" t="s">
        <v>315</v>
      </c>
      <c r="K114" s="4" t="s">
        <v>645</v>
      </c>
      <c r="L114" s="4" t="s">
        <v>646</v>
      </c>
    </row>
    <row r="115" s="1" customFormat="1" ht="43.2" spans="2:12">
      <c r="B115" s="4" t="s">
        <v>647</v>
      </c>
      <c r="C115" s="4" t="s">
        <v>648</v>
      </c>
      <c r="D115" s="4" t="s">
        <v>616</v>
      </c>
      <c r="E115" s="4" t="s">
        <v>649</v>
      </c>
      <c r="F115" s="4" t="s">
        <v>48</v>
      </c>
      <c r="G115" s="4">
        <v>3</v>
      </c>
      <c r="H115" s="4" t="s">
        <v>644</v>
      </c>
      <c r="I115" s="5"/>
      <c r="J115" s="5" t="s">
        <v>315</v>
      </c>
      <c r="K115" s="4" t="s">
        <v>650</v>
      </c>
      <c r="L115" s="4" t="s">
        <v>651</v>
      </c>
    </row>
    <row r="116" s="1" customFormat="1" ht="43.2" spans="2:12">
      <c r="B116" s="4" t="s">
        <v>652</v>
      </c>
      <c r="C116" s="4" t="s">
        <v>653</v>
      </c>
      <c r="D116" s="4" t="s">
        <v>616</v>
      </c>
      <c r="E116" s="4" t="s">
        <v>654</v>
      </c>
      <c r="F116" s="4" t="s">
        <v>56</v>
      </c>
      <c r="G116" s="4">
        <v>2</v>
      </c>
      <c r="H116" s="4" t="s">
        <v>644</v>
      </c>
      <c r="I116" s="5"/>
      <c r="J116" s="5" t="s">
        <v>315</v>
      </c>
      <c r="K116" s="4" t="s">
        <v>655</v>
      </c>
      <c r="L116" s="4" t="s">
        <v>656</v>
      </c>
    </row>
    <row r="117" s="1" customFormat="1" ht="43.2" spans="2:12">
      <c r="B117" s="4" t="s">
        <v>657</v>
      </c>
      <c r="C117" s="4" t="s">
        <v>658</v>
      </c>
      <c r="D117" s="4" t="s">
        <v>616</v>
      </c>
      <c r="E117" s="4" t="s">
        <v>659</v>
      </c>
      <c r="F117" s="4" t="s">
        <v>48</v>
      </c>
      <c r="G117" s="4">
        <v>3</v>
      </c>
      <c r="H117" s="4" t="s">
        <v>660</v>
      </c>
      <c r="I117" s="5"/>
      <c r="J117" s="5" t="s">
        <v>315</v>
      </c>
      <c r="K117" s="4" t="s">
        <v>661</v>
      </c>
      <c r="L117" s="4" t="s">
        <v>662</v>
      </c>
    </row>
    <row r="118" s="1" customFormat="1" ht="57.6" spans="2:12">
      <c r="B118" s="4" t="s">
        <v>663</v>
      </c>
      <c r="C118" s="4" t="s">
        <v>664</v>
      </c>
      <c r="D118" s="4" t="s">
        <v>616</v>
      </c>
      <c r="E118" s="4" t="s">
        <v>665</v>
      </c>
      <c r="F118" s="4" t="s">
        <v>40</v>
      </c>
      <c r="G118" s="4">
        <v>5</v>
      </c>
      <c r="H118" s="4" t="s">
        <v>666</v>
      </c>
      <c r="I118" s="5"/>
      <c r="J118" s="5" t="s">
        <v>315</v>
      </c>
      <c r="K118" s="4" t="s">
        <v>667</v>
      </c>
      <c r="L118" s="4" t="s">
        <v>668</v>
      </c>
    </row>
    <row r="119" s="1" customFormat="1" ht="43.2" spans="2:12">
      <c r="B119" s="4" t="s">
        <v>669</v>
      </c>
      <c r="C119" s="4" t="s">
        <v>670</v>
      </c>
      <c r="D119" s="4" t="s">
        <v>616</v>
      </c>
      <c r="E119" s="4" t="s">
        <v>671</v>
      </c>
      <c r="F119" s="4" t="s">
        <v>48</v>
      </c>
      <c r="G119" s="4">
        <v>2</v>
      </c>
      <c r="H119" s="4" t="s">
        <v>672</v>
      </c>
      <c r="I119" s="5"/>
      <c r="J119" s="5" t="s">
        <v>315</v>
      </c>
      <c r="K119" s="4" t="s">
        <v>673</v>
      </c>
      <c r="L119" s="4" t="s">
        <v>674</v>
      </c>
    </row>
    <row r="120" s="1" customFormat="1" ht="43.2" spans="2:12">
      <c r="B120" s="4" t="s">
        <v>675</v>
      </c>
      <c r="C120" s="4" t="s">
        <v>676</v>
      </c>
      <c r="D120" s="4" t="s">
        <v>616</v>
      </c>
      <c r="E120" s="4" t="s">
        <v>677</v>
      </c>
      <c r="F120" s="4" t="s">
        <v>48</v>
      </c>
      <c r="G120" s="4">
        <v>2</v>
      </c>
      <c r="H120" s="4" t="s">
        <v>672</v>
      </c>
      <c r="I120" s="5"/>
      <c r="J120" s="5" t="s">
        <v>315</v>
      </c>
      <c r="K120" s="4" t="s">
        <v>678</v>
      </c>
      <c r="L120" s="4" t="s">
        <v>679</v>
      </c>
    </row>
    <row r="121" s="1" customFormat="1" ht="43.2" spans="2:12">
      <c r="B121" s="4" t="s">
        <v>680</v>
      </c>
      <c r="C121" s="4" t="s">
        <v>681</v>
      </c>
      <c r="D121" s="4" t="s">
        <v>616</v>
      </c>
      <c r="E121" s="4" t="s">
        <v>682</v>
      </c>
      <c r="F121" s="4" t="s">
        <v>56</v>
      </c>
      <c r="G121" s="4">
        <v>2</v>
      </c>
      <c r="H121" s="4" t="s">
        <v>672</v>
      </c>
      <c r="I121" s="5"/>
      <c r="J121" s="5" t="s">
        <v>315</v>
      </c>
      <c r="K121" s="4" t="s">
        <v>683</v>
      </c>
      <c r="L121" s="4" t="s">
        <v>684</v>
      </c>
    </row>
    <row r="122" s="1" customFormat="1" ht="57.6" spans="2:12">
      <c r="B122" s="4" t="s">
        <v>685</v>
      </c>
      <c r="C122" s="4" t="s">
        <v>686</v>
      </c>
      <c r="D122" s="4" t="s">
        <v>616</v>
      </c>
      <c r="E122" s="4" t="s">
        <v>687</v>
      </c>
      <c r="F122" s="4" t="s">
        <v>40</v>
      </c>
      <c r="G122" s="4">
        <v>5</v>
      </c>
      <c r="H122" s="4" t="s">
        <v>672</v>
      </c>
      <c r="I122" s="5"/>
      <c r="J122" s="5" t="s">
        <v>315</v>
      </c>
      <c r="K122" s="4" t="s">
        <v>688</v>
      </c>
      <c r="L122" s="4" t="s">
        <v>689</v>
      </c>
    </row>
    <row r="123" s="1" customFormat="1" ht="43.2" spans="2:12">
      <c r="B123" s="4" t="s">
        <v>690</v>
      </c>
      <c r="C123" s="4" t="s">
        <v>691</v>
      </c>
      <c r="D123" s="4" t="s">
        <v>616</v>
      </c>
      <c r="E123" s="4" t="s">
        <v>692</v>
      </c>
      <c r="F123" s="4" t="s">
        <v>48</v>
      </c>
      <c r="G123" s="4">
        <v>3</v>
      </c>
      <c r="H123" s="4" t="s">
        <v>693</v>
      </c>
      <c r="I123" s="5"/>
      <c r="J123" s="5" t="s">
        <v>315</v>
      </c>
      <c r="K123" s="4" t="s">
        <v>694</v>
      </c>
      <c r="L123" s="4" t="s">
        <v>695</v>
      </c>
    </row>
    <row r="124" s="1" customFormat="1" ht="43.2" spans="2:12">
      <c r="B124" s="4" t="s">
        <v>696</v>
      </c>
      <c r="C124" s="4" t="s">
        <v>697</v>
      </c>
      <c r="D124" s="4" t="s">
        <v>616</v>
      </c>
      <c r="E124" s="4" t="s">
        <v>698</v>
      </c>
      <c r="F124" s="4" t="s">
        <v>48</v>
      </c>
      <c r="G124" s="4">
        <v>3</v>
      </c>
      <c r="H124" s="4" t="s">
        <v>672</v>
      </c>
      <c r="I124" s="5"/>
      <c r="J124" s="5" t="s">
        <v>315</v>
      </c>
      <c r="K124" s="4" t="s">
        <v>699</v>
      </c>
      <c r="L124" s="4" t="s">
        <v>700</v>
      </c>
    </row>
    <row r="125" s="1" customFormat="1" ht="43.2" spans="2:12">
      <c r="B125" s="4" t="s">
        <v>701</v>
      </c>
      <c r="C125" s="4" t="s">
        <v>702</v>
      </c>
      <c r="D125" s="4" t="s">
        <v>616</v>
      </c>
      <c r="E125" s="4" t="s">
        <v>703</v>
      </c>
      <c r="F125" s="4" t="s">
        <v>48</v>
      </c>
      <c r="G125" s="4">
        <v>2</v>
      </c>
      <c r="H125" s="4" t="s">
        <v>704</v>
      </c>
      <c r="I125" s="5"/>
      <c r="J125" s="5" t="s">
        <v>315</v>
      </c>
      <c r="K125" s="4" t="s">
        <v>705</v>
      </c>
      <c r="L125" s="4" t="s">
        <v>706</v>
      </c>
    </row>
    <row r="126" s="1" customFormat="1" ht="43.2" spans="2:12">
      <c r="B126" s="4" t="s">
        <v>707</v>
      </c>
      <c r="C126" s="4" t="s">
        <v>708</v>
      </c>
      <c r="D126" s="4" t="s">
        <v>616</v>
      </c>
      <c r="E126" s="4" t="s">
        <v>709</v>
      </c>
      <c r="F126" s="4" t="s">
        <v>40</v>
      </c>
      <c r="G126" s="4">
        <v>5</v>
      </c>
      <c r="H126" s="4" t="s">
        <v>693</v>
      </c>
      <c r="I126" s="5"/>
      <c r="J126" s="5" t="s">
        <v>315</v>
      </c>
      <c r="K126" s="4" t="s">
        <v>710</v>
      </c>
      <c r="L126" s="4" t="s">
        <v>711</v>
      </c>
    </row>
    <row r="127" s="1" customFormat="1" ht="43.2" spans="2:12">
      <c r="B127" s="4" t="s">
        <v>712</v>
      </c>
      <c r="C127" s="4" t="s">
        <v>713</v>
      </c>
      <c r="D127" s="4" t="s">
        <v>616</v>
      </c>
      <c r="E127" s="4" t="s">
        <v>714</v>
      </c>
      <c r="F127" s="4" t="s">
        <v>48</v>
      </c>
      <c r="G127" s="4">
        <v>2</v>
      </c>
      <c r="H127" s="4" t="s">
        <v>704</v>
      </c>
      <c r="I127" s="5"/>
      <c r="J127" s="5" t="s">
        <v>315</v>
      </c>
      <c r="K127" s="4" t="s">
        <v>715</v>
      </c>
      <c r="L127" s="4" t="s">
        <v>716</v>
      </c>
    </row>
    <row r="128" s="1" customFormat="1" ht="43.2" spans="2:12">
      <c r="B128" s="4" t="s">
        <v>717</v>
      </c>
      <c r="C128" s="4" t="s">
        <v>718</v>
      </c>
      <c r="D128" s="4" t="s">
        <v>616</v>
      </c>
      <c r="E128" s="4" t="s">
        <v>719</v>
      </c>
      <c r="F128" s="4" t="s">
        <v>40</v>
      </c>
      <c r="G128" s="4">
        <v>3</v>
      </c>
      <c r="H128" s="4" t="s">
        <v>704</v>
      </c>
      <c r="I128" s="5"/>
      <c r="J128" s="5" t="s">
        <v>315</v>
      </c>
      <c r="K128" s="4" t="s">
        <v>720</v>
      </c>
      <c r="L128" s="4" t="s">
        <v>721</v>
      </c>
    </row>
    <row r="129" s="1" customFormat="1" ht="43.2" spans="2:12">
      <c r="B129" s="4" t="s">
        <v>722</v>
      </c>
      <c r="C129" s="4" t="s">
        <v>723</v>
      </c>
      <c r="D129" s="4" t="s">
        <v>616</v>
      </c>
      <c r="E129" s="4" t="s">
        <v>724</v>
      </c>
      <c r="F129" s="4" t="s">
        <v>48</v>
      </c>
      <c r="G129" s="4">
        <v>2</v>
      </c>
      <c r="H129" s="4" t="s">
        <v>725</v>
      </c>
      <c r="I129" s="5"/>
      <c r="J129" s="5" t="s">
        <v>315</v>
      </c>
      <c r="K129" s="4" t="s">
        <v>726</v>
      </c>
      <c r="L129" s="4" t="s">
        <v>727</v>
      </c>
    </row>
    <row r="130" s="1" customFormat="1" ht="57.6" spans="2:12">
      <c r="B130" s="4" t="s">
        <v>728</v>
      </c>
      <c r="C130" s="4" t="s">
        <v>729</v>
      </c>
      <c r="D130" s="4" t="s">
        <v>616</v>
      </c>
      <c r="E130" s="4" t="s">
        <v>730</v>
      </c>
      <c r="F130" s="4" t="s">
        <v>56</v>
      </c>
      <c r="G130" s="4">
        <v>2</v>
      </c>
      <c r="H130" s="4" t="s">
        <v>704</v>
      </c>
      <c r="I130" s="5"/>
      <c r="J130" s="5" t="s">
        <v>315</v>
      </c>
      <c r="K130" s="4" t="s">
        <v>731</v>
      </c>
      <c r="L130" s="4" t="s">
        <v>732</v>
      </c>
    </row>
    <row r="131" s="1" customFormat="1" ht="57.6" spans="2:12">
      <c r="B131" s="4" t="s">
        <v>733</v>
      </c>
      <c r="C131" s="4" t="s">
        <v>734</v>
      </c>
      <c r="D131" s="4" t="s">
        <v>616</v>
      </c>
      <c r="E131" s="4" t="s">
        <v>735</v>
      </c>
      <c r="F131" s="4" t="s">
        <v>48</v>
      </c>
      <c r="G131" s="4">
        <v>2</v>
      </c>
      <c r="H131" s="4" t="s">
        <v>736</v>
      </c>
      <c r="I131" s="5"/>
      <c r="J131" s="5" t="s">
        <v>315</v>
      </c>
      <c r="K131" s="4" t="s">
        <v>737</v>
      </c>
      <c r="L131" s="4" t="s">
        <v>738</v>
      </c>
    </row>
    <row r="132" s="1" customFormat="1" ht="57.6" spans="2:12">
      <c r="B132" s="4" t="s">
        <v>739</v>
      </c>
      <c r="C132" s="4" t="s">
        <v>740</v>
      </c>
      <c r="D132" s="4" t="s">
        <v>616</v>
      </c>
      <c r="E132" s="4" t="s">
        <v>741</v>
      </c>
      <c r="F132" s="4" t="s">
        <v>40</v>
      </c>
      <c r="G132" s="4">
        <v>3</v>
      </c>
      <c r="H132" s="4" t="s">
        <v>742</v>
      </c>
      <c r="I132" s="5"/>
      <c r="J132" s="5" t="s">
        <v>315</v>
      </c>
      <c r="K132" s="4" t="s">
        <v>743</v>
      </c>
      <c r="L132" s="4" t="s">
        <v>744</v>
      </c>
    </row>
    <row r="133" s="1" customFormat="1" ht="72" spans="2:12">
      <c r="B133" s="4" t="s">
        <v>745</v>
      </c>
      <c r="C133" s="4" t="s">
        <v>746</v>
      </c>
      <c r="D133" s="4" t="s">
        <v>616</v>
      </c>
      <c r="E133" s="4" t="s">
        <v>747</v>
      </c>
      <c r="F133" s="4" t="s">
        <v>48</v>
      </c>
      <c r="G133" s="4">
        <v>2</v>
      </c>
      <c r="H133" s="4" t="s">
        <v>748</v>
      </c>
      <c r="I133" s="5"/>
      <c r="J133" s="5" t="s">
        <v>315</v>
      </c>
      <c r="K133" s="4" t="s">
        <v>749</v>
      </c>
      <c r="L133" s="4" t="s">
        <v>750</v>
      </c>
    </row>
    <row r="134" s="1" customFormat="1" ht="57.6" spans="2:12">
      <c r="B134" s="4" t="s">
        <v>751</v>
      </c>
      <c r="C134" s="4" t="s">
        <v>752</v>
      </c>
      <c r="D134" s="4" t="s">
        <v>616</v>
      </c>
      <c r="E134" s="4" t="s">
        <v>753</v>
      </c>
      <c r="F134" s="4" t="s">
        <v>48</v>
      </c>
      <c r="G134" s="4">
        <v>3</v>
      </c>
      <c r="H134" s="4" t="s">
        <v>748</v>
      </c>
      <c r="I134" s="5"/>
      <c r="J134" s="5" t="s">
        <v>315</v>
      </c>
      <c r="K134" s="4" t="s">
        <v>754</v>
      </c>
      <c r="L134" s="4" t="s">
        <v>755</v>
      </c>
    </row>
    <row r="135" s="1" customFormat="1" ht="57.6" spans="2:12">
      <c r="B135" s="4" t="s">
        <v>756</v>
      </c>
      <c r="C135" s="4" t="s">
        <v>757</v>
      </c>
      <c r="D135" s="4" t="s">
        <v>616</v>
      </c>
      <c r="E135" s="4" t="s">
        <v>758</v>
      </c>
      <c r="F135" s="4" t="s">
        <v>56</v>
      </c>
      <c r="G135" s="4">
        <v>1</v>
      </c>
      <c r="H135" s="4" t="s">
        <v>748</v>
      </c>
      <c r="I135" s="5"/>
      <c r="J135" s="5" t="s">
        <v>315</v>
      </c>
      <c r="K135" s="4" t="s">
        <v>759</v>
      </c>
      <c r="L135" s="4" t="s">
        <v>760</v>
      </c>
    </row>
    <row r="136" s="1" customFormat="1" ht="57.6" spans="2:12">
      <c r="B136" s="4" t="s">
        <v>761</v>
      </c>
      <c r="C136" s="4" t="s">
        <v>762</v>
      </c>
      <c r="D136" s="4" t="s">
        <v>616</v>
      </c>
      <c r="E136" s="4" t="s">
        <v>763</v>
      </c>
      <c r="F136" s="4" t="s">
        <v>48</v>
      </c>
      <c r="G136" s="4">
        <v>5</v>
      </c>
      <c r="H136" s="4" t="s">
        <v>764</v>
      </c>
      <c r="I136" s="5"/>
      <c r="J136" s="5" t="s">
        <v>315</v>
      </c>
      <c r="K136" s="4" t="s">
        <v>765</v>
      </c>
      <c r="L136" s="4" t="s">
        <v>766</v>
      </c>
    </row>
    <row r="137" s="1" customFormat="1" spans="2:12">
      <c r="B137" s="7" t="s">
        <v>767</v>
      </c>
      <c r="C137" s="7"/>
      <c r="D137" s="7"/>
      <c r="E137" s="8">
        <f>COUNTIF(I:I,"迭代 1")</f>
        <v>50</v>
      </c>
      <c r="F137" s="8"/>
      <c r="G137" s="8"/>
      <c r="H137" s="7" t="s">
        <v>768</v>
      </c>
      <c r="I137" s="7"/>
      <c r="J137" s="7"/>
      <c r="K137" s="8">
        <f>SUMIF(I:I,"迭代 1",G:G)</f>
        <v>90</v>
      </c>
      <c r="L137" s="8"/>
    </row>
    <row r="138" s="1" customFormat="1" spans="2:12">
      <c r="B138" s="7" t="s">
        <v>769</v>
      </c>
      <c r="C138" s="7"/>
      <c r="D138" s="7"/>
      <c r="E138" s="8">
        <f>COUNTIF(I:I,"迭代 2")</f>
        <v>2</v>
      </c>
      <c r="F138" s="8"/>
      <c r="G138" s="8"/>
      <c r="H138" s="7" t="s">
        <v>770</v>
      </c>
      <c r="I138" s="7"/>
      <c r="J138" s="7"/>
      <c r="K138" s="8">
        <f>SUMIF(I:I,"迭代 2",G:G)</f>
        <v>2</v>
      </c>
      <c r="L138" s="8"/>
    </row>
    <row r="139" s="1" customFormat="1" spans="2:12">
      <c r="B139" s="7" t="s">
        <v>771</v>
      </c>
      <c r="C139" s="7"/>
      <c r="D139" s="7"/>
      <c r="E139" s="8">
        <f>COUNTIF(I:I,"迭代 3")</f>
        <v>0</v>
      </c>
      <c r="F139" s="8"/>
      <c r="G139" s="8"/>
      <c r="H139" s="7" t="s">
        <v>772</v>
      </c>
      <c r="I139" s="7"/>
      <c r="J139" s="7"/>
      <c r="K139" s="8">
        <f>SUMIF(I:I,"迭代 3",G:G)</f>
        <v>0</v>
      </c>
      <c r="L139" s="8"/>
    </row>
    <row r="140" s="1" customFormat="1" spans="2:12">
      <c r="B140" s="7" t="s">
        <v>773</v>
      </c>
      <c r="C140" s="7"/>
      <c r="D140" s="7"/>
      <c r="E140" s="8">
        <f>COUNTIF(C:C,"&lt;&gt;")-1</f>
        <v>133</v>
      </c>
      <c r="F140" s="8"/>
      <c r="G140" s="8"/>
      <c r="H140" s="7" t="s">
        <v>774</v>
      </c>
      <c r="I140" s="7"/>
      <c r="J140" s="7"/>
      <c r="K140" s="8">
        <f>SUM(G:G)</f>
        <v>281</v>
      </c>
      <c r="L140" s="8"/>
    </row>
    <row r="141" s="1" customFormat="1" spans="2:12">
      <c r="B141" s="7" t="s">
        <v>775</v>
      </c>
      <c r="C141" s="7"/>
      <c r="D141" s="7"/>
      <c r="E141" s="8">
        <f>COUNTIF(J:J,"待开发")</f>
        <v>80</v>
      </c>
      <c r="F141" s="8"/>
      <c r="G141" s="8"/>
      <c r="H141" s="7" t="s">
        <v>776</v>
      </c>
      <c r="I141" s="7"/>
      <c r="J141" s="7"/>
      <c r="K141" s="8">
        <f>SUMIF(J:J,"待开发",G:G)</f>
        <v>186</v>
      </c>
      <c r="L141" s="8"/>
    </row>
    <row r="142" s="1" customFormat="1" spans="2:12">
      <c r="B142" s="7" t="s">
        <v>777</v>
      </c>
      <c r="C142" s="7"/>
      <c r="D142" s="7"/>
      <c r="E142" s="8">
        <f>COUNTIF(J:J,"进行中")</f>
        <v>0</v>
      </c>
      <c r="F142" s="8"/>
      <c r="G142" s="8"/>
      <c r="H142" s="7" t="s">
        <v>778</v>
      </c>
      <c r="I142" s="7"/>
      <c r="J142" s="7"/>
      <c r="K142" s="8">
        <f>SUMIF(J:J,"进行中",G:G)</f>
        <v>0</v>
      </c>
      <c r="L142" s="8"/>
    </row>
    <row r="143" s="1" customFormat="1" spans="2:12">
      <c r="B143" s="7" t="s">
        <v>779</v>
      </c>
      <c r="C143" s="7"/>
      <c r="D143" s="7"/>
      <c r="E143" s="8">
        <f>COUNTIF(J:J,"已完成")</f>
        <v>53</v>
      </c>
      <c r="F143" s="8"/>
      <c r="G143" s="8"/>
      <c r="H143" s="7" t="s">
        <v>780</v>
      </c>
      <c r="I143" s="7"/>
      <c r="J143" s="7"/>
      <c r="K143" s="8">
        <f>SUMIF(J:J,"已完成",G:G)</f>
        <v>95</v>
      </c>
      <c r="L143" s="8"/>
    </row>
  </sheetData>
  <autoFilter xmlns:etc="http://www.wps.cn/officeDocument/2017/etCustomData" ref="B3:L143" etc:filterBottomFollowUsedRange="0">
    <extLst/>
  </autoFilter>
  <mergeCells count="29">
    <mergeCell ref="B2:L2"/>
    <mergeCell ref="B137:D137"/>
    <mergeCell ref="E137:G137"/>
    <mergeCell ref="H137:J137"/>
    <mergeCell ref="K137:L137"/>
    <mergeCell ref="B138:D138"/>
    <mergeCell ref="E138:G138"/>
    <mergeCell ref="H138:J138"/>
    <mergeCell ref="K138:L138"/>
    <mergeCell ref="B139:D139"/>
    <mergeCell ref="E139:G139"/>
    <mergeCell ref="H139:J139"/>
    <mergeCell ref="K139:L139"/>
    <mergeCell ref="B140:D140"/>
    <mergeCell ref="E140:G140"/>
    <mergeCell ref="H140:J140"/>
    <mergeCell ref="K140:L140"/>
    <mergeCell ref="B141:D141"/>
    <mergeCell ref="E141:G141"/>
    <mergeCell ref="H141:J141"/>
    <mergeCell ref="K141:L141"/>
    <mergeCell ref="B142:D142"/>
    <mergeCell ref="E142:G142"/>
    <mergeCell ref="H142:J142"/>
    <mergeCell ref="K142:L142"/>
    <mergeCell ref="B143:D143"/>
    <mergeCell ref="E143:G143"/>
    <mergeCell ref="H143:J143"/>
    <mergeCell ref="K143:L143"/>
  </mergeCells>
  <dataValidations count="2">
    <dataValidation type="list" allowBlank="1" showInputMessage="1" showErrorMessage="1" sqref="I4:I136">
      <formula1>"迭代 1,迭代 2,迭代 3"</formula1>
    </dataValidation>
    <dataValidation type="list" allowBlank="1" showInputMessage="1" showErrorMessage="1" sqref="J4:J136">
      <formula1>"待开发,进行中,已完成"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6" sqref="L1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2026-01-26T01:56:13Z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09808C4523F845BC98F957D0B06B5254_12</vt:lpwstr>
  </property>
  <property fmtid="{D5CDD505-2E9C-101B-9397-08002B2CF9AE}" pid="4" name="CalculationRule">
    <vt:i4>0</vt:i4>
  </property>
</Properties>
</file>