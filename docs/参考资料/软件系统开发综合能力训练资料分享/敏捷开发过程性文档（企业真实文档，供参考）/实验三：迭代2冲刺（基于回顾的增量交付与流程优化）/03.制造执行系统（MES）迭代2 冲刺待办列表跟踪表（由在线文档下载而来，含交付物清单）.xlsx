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theme/themeOverride2.xml" ContentType="application/vnd.openxmlformats-officedocument.themeOverride+xml"/>
  <Override PartName="/xl/theme/themeOverride3.xml" ContentType="application/vnd.openxmlformats-officedocument.themeOverride+xml"/>
  <Override PartName="/xl/webExtensions/webExtension1.xml" ContentType="application/vnd.wps-officedocument.webExtension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8" windowHeight="12300" activeTab="2"/>
  </bookViews>
  <sheets>
    <sheet name="版本信息" sheetId="1" r:id="rId1"/>
    <sheet name="交付物清单" sheetId="2" r:id="rId2"/>
    <sheet name="交付状态统计" sheetId="4" r:id="rId3"/>
    <sheet name="使用说明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<sst xmlns="http://schemas.openxmlformats.org/spreadsheetml/2006/main" count="809" uniqueCount="558">
  <si>
    <t>制造执行系统迭代2冲刺待办列表跟踪表</t>
  </si>
  <si>
    <t>西安优加青软数字技术有限公司
技术支持部审定</t>
  </si>
  <si>
    <t>版本</t>
  </si>
  <si>
    <t>日期</t>
  </si>
  <si>
    <t>更新人员</t>
  </si>
  <si>
    <t>更新类型</t>
  </si>
  <si>
    <t>更新内容说明</t>
  </si>
  <si>
    <t>更新范围</t>
  </si>
  <si>
    <t>联动变更文档</t>
  </si>
  <si>
    <t>审核人员</t>
  </si>
  <si>
    <t>备注</t>
  </si>
  <si>
    <t>V1.1.0</t>
  </si>
  <si>
    <t>王强</t>
  </si>
  <si>
    <t>初始化</t>
  </si>
  <si>
    <t>初始版本发布，完成文档核心内容编制</t>
  </si>
  <si>
    <t>版本信息、正文、使用说明</t>
  </si>
  <si>
    <t>无</t>
  </si>
  <si>
    <t>李静</t>
  </si>
  <si>
    <t>初始基础版本</t>
  </si>
  <si>
    <r>
      <rPr>
        <sz val="10"/>
        <color rgb="FFFF0000"/>
        <rFont val="宋体"/>
        <charset val="134"/>
        <scheme val="minor"/>
      </rPr>
      <t>*</t>
    </r>
    <r>
      <rPr>
        <sz val="10"/>
        <color theme="1"/>
        <rFont val="宋体"/>
        <charset val="134"/>
        <scheme val="minor"/>
      </rPr>
      <t>本文件仅限西安优加青软数字技术有限公司和被呈送方内部使用，未经许可，请勿扩散到第三方。</t>
    </r>
  </si>
  <si>
    <r>
      <rPr>
        <b/>
        <sz val="12"/>
        <color rgb="FF000000"/>
        <rFont val="宋体"/>
        <charset val="134"/>
      </rPr>
      <t>交付物</t>
    </r>
    <r>
      <rPr>
        <b/>
        <sz val="12"/>
        <color rgb="FF000000"/>
        <rFont val="Segoe UI"/>
        <charset val="134"/>
      </rPr>
      <t xml:space="preserve"> ID</t>
    </r>
  </si>
  <si>
    <t>交付物名称</t>
  </si>
  <si>
    <t>所属模块</t>
  </si>
  <si>
    <t>交付类型</t>
  </si>
  <si>
    <t>责任认领人</t>
  </si>
  <si>
    <t>核心验收标准</t>
  </si>
  <si>
    <t>计划交付时间</t>
  </si>
  <si>
    <t>实际交付时间</t>
  </si>
  <si>
    <t>交付状态</t>
  </si>
  <si>
    <t>更新记录（李静维护）</t>
  </si>
  <si>
    <t>关联待办项ID</t>
  </si>
  <si>
    <t>关联用户故事ID</t>
  </si>
  <si>
    <t>D-F-024</t>
  </si>
  <si>
    <t>系统参数修改（可运行）</t>
  </si>
  <si>
    <r>
      <t>系统管理（</t>
    </r>
    <r>
      <rPr>
        <sz val="12"/>
        <color rgb="FF000000"/>
        <rFont val="Segoe UI"/>
        <charset val="134"/>
      </rPr>
      <t>SM</t>
    </r>
    <r>
      <rPr>
        <sz val="12"/>
        <color rgb="FF000000"/>
        <rFont val="宋体"/>
        <charset val="134"/>
      </rPr>
      <t>）</t>
    </r>
  </si>
  <si>
    <t>功能交付物</t>
  </si>
  <si>
    <t>1. 参数值与类型匹配；2. 保存后生效值一致；3. 操作有日志记录；4. 禁用时弹出确认提示；5. 核心参数不可修改</t>
  </si>
  <si>
    <t>验收通过</t>
  </si>
  <si>
    <r>
      <t>1.01-06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周）：初始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待交付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2.01-08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周）：依赖迭代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基础功能，启动开发，状态更新为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开发中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3.01-12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周）：开发完成，状态更新为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待验收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 xml:space="preserve">
4.01-13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周）：张伟验收通过，状态更新为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验收通过</t>
    </r>
    <r>
      <rPr>
        <sz val="12"/>
        <color rgb="FF000000"/>
        <rFont val="Segoe UI"/>
        <charset val="134"/>
      </rPr>
      <t>”</t>
    </r>
  </si>
  <si>
    <t>部分参数修改后需重启系统</t>
  </si>
  <si>
    <t>PB-SM-019</t>
  </si>
  <si>
    <t>MES-SM-19</t>
  </si>
  <si>
    <t>D-F-025</t>
  </si>
  <si>
    <t>系统参数删除（可运行）</t>
  </si>
  <si>
    <t>系统管理（SM）</t>
  </si>
  <si>
    <t>1. 删除前弹出确认提示；2. 仅禁用状态可删除；3. 核心参数禁止删除；4. 删除后不再显示；5. 操作有日志记录</t>
  </si>
  <si>
    <r>
      <t>1.01-06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周）：初始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待交付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2.01-09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周）：依赖迭代</t>
    </r>
    <r>
      <rPr>
        <sz val="12"/>
        <color rgb="FF000000"/>
        <rFont val="Segoe UI"/>
        <charset val="134"/>
      </rPr>
      <t xml:space="preserve"> 1 </t>
    </r>
    <r>
      <rPr>
        <sz val="12"/>
        <color rgb="FF000000"/>
        <rFont val="宋体"/>
        <charset val="134"/>
      </rPr>
      <t>基础功能，启动开发，状态更新为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开发中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>3.01-13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周）：开发完成，状态更新为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待验收</t>
    </r>
    <r>
      <rPr>
        <sz val="12"/>
        <color rgb="FF000000"/>
        <rFont val="Segoe UI"/>
        <charset val="134"/>
      </rPr>
      <t>”</t>
    </r>
    <r>
      <rPr>
        <sz val="12"/>
        <color rgb="FF000000"/>
        <rFont val="宋体"/>
        <charset val="134"/>
      </rPr>
      <t>；</t>
    </r>
    <r>
      <rPr>
        <sz val="12"/>
        <color rgb="FF000000"/>
        <rFont val="Segoe UI"/>
        <charset val="134"/>
      </rPr>
      <t xml:space="preserve">
4.01-14 17:00</t>
    </r>
    <r>
      <rPr>
        <sz val="12"/>
        <color rgb="FF000000"/>
        <rFont val="宋体"/>
        <charset val="134"/>
      </rPr>
      <t>（第</t>
    </r>
    <r>
      <rPr>
        <sz val="12"/>
        <color rgb="FF000000"/>
        <rFont val="Segoe UI"/>
        <charset val="134"/>
      </rPr>
      <t xml:space="preserve"> 2 </t>
    </r>
    <r>
      <rPr>
        <sz val="12"/>
        <color rgb="FF000000"/>
        <rFont val="宋体"/>
        <charset val="134"/>
      </rPr>
      <t>周）：张伟验收通过，状态更新为</t>
    </r>
    <r>
      <rPr>
        <sz val="12"/>
        <color rgb="FF000000"/>
        <rFont val="Segoe UI"/>
        <charset val="134"/>
      </rPr>
      <t xml:space="preserve"> “</t>
    </r>
    <r>
      <rPr>
        <sz val="12"/>
        <color rgb="FF000000"/>
        <rFont val="宋体"/>
        <charset val="134"/>
      </rPr>
      <t>验收通过</t>
    </r>
    <r>
      <rPr>
        <sz val="12"/>
        <color rgb="FF000000"/>
        <rFont val="Segoe UI"/>
        <charset val="134"/>
      </rPr>
      <t>”</t>
    </r>
  </si>
  <si>
    <t>建议删除前备份配置信息</t>
  </si>
  <si>
    <t>PB-SM-020</t>
  </si>
  <si>
    <t>MES-SM-20</t>
  </si>
  <si>
    <t>D-F-054</t>
  </si>
  <si>
    <t>物料分类新增（可运行）</t>
  </si>
  <si>
    <t>基础数据（BD）</t>
  </si>
  <si>
    <t>1. 编码重复提示；2. 同一上级分类下名称唯一；3. 名称、编码为必填项；4. 保存后树形结构同步显示；5. 操作有日志记录</t>
  </si>
  <si>
    <t>1.01-06 17:00（第 1 周）：初始 “待交付”；2.01-10 17:00（第 1 周）：王强反馈开发中，状态更新为 “开发中”；3.01-11 17:00（第 1 周）：开发完成，状态更新为 “待验收”；4.01-12 17:00（第 1 周）：张伟验收通过</t>
  </si>
  <si>
    <t>分类编码建议采用 “MATC + 层级 + 序号” 格式</t>
  </si>
  <si>
    <t>PB-BD-017</t>
  </si>
  <si>
    <t>MES-BD-17</t>
  </si>
  <si>
    <t>D-F-055</t>
  </si>
  <si>
    <t>物料分类查询（可运行）</t>
  </si>
  <si>
    <t>1. 编码精确匹配，名称模糊匹配；2. 按上级分类筛选；3. 树形结构展示，支持展开 / 折叠；4. 无结果提示对应信息；5. 支持按排序序号排序</t>
  </si>
  <si>
    <t>1.01-06 17:00（第 1 周）：初始 “待交付”；2.01-11 17:00（第 1 周）：依赖物料分类新增功能完成，启动开发，状态 “开发中”；3.01-12 17:00（第 1 周）：开发完成，状态更新为 “待验收”；4.01-13 17:00（第 1 周）：张伟验收通过</t>
  </si>
  <si>
    <t>点击分类名称可查看物料列表</t>
  </si>
  <si>
    <t>PB-BD-018</t>
  </si>
  <si>
    <t>MES-BD-18</t>
  </si>
  <si>
    <t>D-F-056</t>
  </si>
  <si>
    <t>物料分类修改（可运行）</t>
  </si>
  <si>
    <t>1. 编码不可修改；2. 同一上级分类下名称唯一；3. 已关联物料的不可调整上级分类；4. 保存后树形结构同步更新；5. 操作有日志记录</t>
  </si>
  <si>
    <t>1.01-06 17:00（第 1 周）：初始 “待交付”；2.01-12 17:00（第 1 周）：依赖物料分类新增功能完成，启动开发，状态 “开发中”；3.01-13 17:00（第 1 周）：开发完成，状态更新为 “待验收”；4.01-14 17:00（第 1 周）：张伟验收通过</t>
  </si>
  <si>
    <t>排序序号越小，展示越靠前</t>
  </si>
  <si>
    <t>PB-BD-019</t>
  </si>
  <si>
    <t>MES-BD-19</t>
  </si>
  <si>
    <t>D-F-057</t>
  </si>
  <si>
    <t>物料分类删除（可运行）</t>
  </si>
  <si>
    <t>1. 删除前弹出确认提示；2. 含子分类或关联物料的禁止删除；3. 删除后树形结构不再显示；4. 操作有日志记录；5. 仅空分类可删除</t>
  </si>
  <si>
    <t>1.01-06 17:00（第 1 周）：初始 “待交付”；2.01-13 17:00（第 1 周）：依赖物料分类新增功能完成，启动开发，状态 “开发中”；3.01-14 17:00（第 1 周）：开发完成，状态更新为 “待验收”；4.01-15 17:00（第 1 周）：张伟验收通过</t>
  </si>
  <si>
    <t>建议删除前确认无关联数据</t>
  </si>
  <si>
    <t>PB-BD-020</t>
  </si>
  <si>
    <t>MES-BD-20</t>
  </si>
  <si>
    <t>D-F-058</t>
  </si>
  <si>
    <t>物料信息新增（可运行）</t>
  </si>
  <si>
    <t>陈明</t>
  </si>
  <si>
    <t>1. 必填项为空提示；2. 编码唯一；3. 计量单位需有效；4. 保存后列表同步显示；5. 操作有日志记录</t>
  </si>
  <si>
    <t>1.01-06 17:00（第 1 周）：初始 “待交付”；2.01-15 17:00（第 2 周）：依赖物料分类、计量单位功能完成，启动开发，状态 “开发中”；3.01-16 17:00（第 2 周）：开发完成，状态更新为 “待验收”；4.01-17 17:00（第 2 周）：张伟验收通过</t>
  </si>
  <si>
    <t>物料编码建议采用 “分类编码 + 6 位序号” 格式</t>
  </si>
  <si>
    <t>PB-BD-021</t>
  </si>
  <si>
    <t>MES-BD-21</t>
  </si>
  <si>
    <t>D-F-059</t>
  </si>
  <si>
    <t>物料信息查询（可运行）</t>
  </si>
  <si>
    <t>1. 编码精确匹配，名称 / 规格模糊匹配；2. 多条件组合筛选；3. 分页展示（默认 20 条）；4. 无结果提示对应信息；5. 支持按编码排序</t>
  </si>
  <si>
    <t>1.01-06 17:00（第 1 周）：初始 “待交付”；2.01-16 17:00（第 2 周）：依赖物料信息新增功能完成，启动开发，状态 “开发中”；3.01-17 17:00（第 2 周）：开发完成，状态更新为 “待验收”；4.01-18 17:00（第 2 周）：张伟验收通过</t>
  </si>
  <si>
    <t>支持导出物料列表（Excel 格式）</t>
  </si>
  <si>
    <t>PB-BD-022</t>
  </si>
  <si>
    <t>MES-BD-22</t>
  </si>
  <si>
    <t>D-F-060</t>
  </si>
  <si>
    <t>物料信息修改（可运行）</t>
  </si>
  <si>
    <t>1. 编码、名称不可修改；2. 计量单位需有效；3. 保存后同步更新；4. 操作有日志记录；5. 禁用时弹出确认提示</t>
  </si>
  <si>
    <t>1.01-06 17:00（第 1 周）：初始 “待交付”；2.01-17 17:00（第 2 周）：依赖物料信息新增功能完成，启动开发，状态 “开发中”；3.01-18 17:00（第 2 周）：开发完成，状态更新为 “待验收”；4.01-19 17:00（第 2 周）：张伟验收通过</t>
  </si>
  <si>
    <t>已关联业务单据的物料禁用前需确认影响</t>
  </si>
  <si>
    <t>PB-BD-023</t>
  </si>
  <si>
    <t>MES-BD-23</t>
  </si>
  <si>
    <t>D-F-061</t>
  </si>
  <si>
    <t>物料信息删除（可运行）</t>
  </si>
  <si>
    <t>1. 删除前弹出确认提示；2. 已关联业务单据的禁止删除；3. 仅禁用状态可删除；4. 删除后不再显示；5. 操作有日志记录</t>
  </si>
  <si>
    <t>1.01-06 17:00（第 1 周）：初始 “待交付”；2.01-18 17:00（第 2 周）：依赖物料信息新增功能完成，启动开发，状态 “开发中”；3.01-19 17:00（第 2 周）：开发完成，状态更新为 “待验收”；4.01-20 17:00（第 2 周）：张伟验收通过</t>
  </si>
  <si>
    <t>建议删除前备份物料信息</t>
  </si>
  <si>
    <t>PB-BD-024</t>
  </si>
  <si>
    <t>MES-BD-24</t>
  </si>
  <si>
    <t>D-F-062</t>
  </si>
  <si>
    <t>物料 BOM 新增（可运行）</t>
  </si>
  <si>
    <t>1. 必填项为空提示；2. 同一父物料 + 版本号唯一；3. 用量比例 &gt; 0；4. 父 / 子物料需有效；5. 保存后列表同步显示</t>
  </si>
  <si>
    <t>1.01-06 17:00（第 1 周）：初始 “待交付”；2.01-19 17:00（第 2 周）：依赖物料信息新增功能完成，启动开发，状态 “开发中”；3.01-20 17:00（第 2 周）：开发完成，状态更新为 “待验收”；4.01-21 17:00（第 2 周）：张伟验收通过</t>
  </si>
  <si>
    <t>BOM 版本号建议采用 “V+X.Y.Z” 格式</t>
  </si>
  <si>
    <t>PB-BD-025</t>
  </si>
  <si>
    <t>MES-BD-25</t>
  </si>
  <si>
    <t>D-F-063</t>
  </si>
  <si>
    <t>物料 BOM 查询（可运行）</t>
  </si>
  <si>
    <t>1. 编码精确匹配，名称模糊匹配；2. 按版本号筛选，默认最新生效版本；3. 展示核心字段；4. 支持层级展开 / 折叠；5. 无结果提示对应信息</t>
  </si>
  <si>
    <t>1.01-06 17:00（第 1 周）：初始 “待交付”；2.01-20 17:00（第 2 周）：依赖物料 BOM 新增功能完成，启动开发，状态 “开发中”；3.01-21 17:00（第 2 周）：开发完成，状态更新为 “待验收”；4.01-22 17:00（第 2 周）：张伟验收通过</t>
  </si>
  <si>
    <t>支持导出 BOM 查询结果（Excel 格式）</t>
  </si>
  <si>
    <t>PB-BD-026</t>
  </si>
  <si>
    <t>MES-BD-26</t>
  </si>
  <si>
    <t>D-F-064</t>
  </si>
  <si>
    <t>物料 BOM 修改（可运行）</t>
  </si>
  <si>
    <t>1. 仅启用且未关联工单的可修改；2. 子物料需有效；3. 用量比例 &gt; 0；4. 修改后同步更新，有日志记录；5. 同一父物料 + 版本号唯一</t>
  </si>
  <si>
    <t>1.01-06 17:00（第 1 周）：初始 “待交付”；2.01-21 17:00（第 2 周）：依赖物料 BOM 新增功能完成，启动开发，状态 “开发中”；3.01-22 17:00（第 2 周）：开发完成，状态更新为 “待验收”；4.01-23 17:00（第 2 周）：张伟验收通过</t>
  </si>
  <si>
    <t>已关联工单的 BOM 需作废后新增新版本</t>
  </si>
  <si>
    <t>PB-BD-027</t>
  </si>
  <si>
    <t>MES-BD-27</t>
  </si>
  <si>
    <t>D-F-065</t>
  </si>
  <si>
    <t>物料 BOM 删除（可运行）</t>
  </si>
  <si>
    <t>1. 删除前弹出确认提示；2. 已关联工单的禁止删除；3. 仅禁用状态可删除；4. 删除后不再显示，有日志记录；5. 父物料仅存此版本时禁止删除</t>
  </si>
  <si>
    <t>1.01-06 17:00（第 1 周）：初始 “待交付”；2.01-22 17:00（第 2 周）：依赖物料 BOM 新增功能完成，启动开发，状态 “开发中”；3.01-23 17:00（第 2 周）：开发完成，状态更新为 “待验收”；4.01-24 17:00（第 2 周）：张伟验收通过</t>
  </si>
  <si>
    <t>建议删除前备份 BOM 数据</t>
  </si>
  <si>
    <t>PB-BD-028</t>
  </si>
  <si>
    <t>MES-BD-28</t>
  </si>
  <si>
    <t>D-F-066</t>
  </si>
  <si>
    <t>设备信息新增（可运行）</t>
  </si>
  <si>
    <t>设备管理（EQ）</t>
  </si>
  <si>
    <t>1. 必填项为空提示；2. 编码唯一；3. 关联工位需有效；4. 保存后列表同步显示；5. 操作有日志记录</t>
  </si>
  <si>
    <t>1.01-06 17:00（第 1 周）：初始 “待交付”；2.01-08 17:00（第 1 周）：陈明反馈开发中，状态更新为 “开发中”；3.01-09 17:00（第 1 周）：开发完成，状态更新为 “待验收”；4.01-10 17:00（第 1 周）：张伟验收通过</t>
  </si>
  <si>
    <t>设备编码建议采用 “EQ+6 位序号” 格式</t>
  </si>
  <si>
    <t>PB-EQ-001</t>
  </si>
  <si>
    <t>MES-EQ-01</t>
  </si>
  <si>
    <t>D-F-067</t>
  </si>
  <si>
    <t>设备信息查询（可运行）</t>
  </si>
  <si>
    <r>
      <rPr>
        <sz val="12"/>
        <color rgb="FF000000"/>
        <rFont val="宋体"/>
        <charset val="134"/>
      </rPr>
      <t>设备管理（</t>
    </r>
    <r>
      <rPr>
        <sz val="12"/>
        <color rgb="FF000000"/>
        <rFont val="Segoe UI"/>
        <charset val="134"/>
      </rPr>
      <t>EQ</t>
    </r>
    <r>
      <rPr>
        <sz val="12"/>
        <color rgb="FF000000"/>
        <rFont val="宋体"/>
        <charset val="134"/>
      </rPr>
      <t>）</t>
    </r>
  </si>
  <si>
    <t>1. 编码精确匹配，名称模糊匹配；2. 多条件组合筛选；3. 分页展示（默认 20 条）；4. 无结果提示对应信息；5. 支持按编码排序</t>
  </si>
  <si>
    <t>1.01-06 17:00（第 1 周）：初始 “待交付”；2.01-09 17:00（第 1 周）：依赖设备信息新增功能完成，启动开发，状态 “开发中”；3.01-10 17:00（第 1 周）：开发完成，状态更新为 “待验收”；4.01-11 17:00（第 1 周）：张伟验收通过</t>
  </si>
  <si>
    <t>支持导出设备列表（Excel 格式）</t>
  </si>
  <si>
    <t>PB-EQ-002</t>
  </si>
  <si>
    <t>MES-EQ-02</t>
  </si>
  <si>
    <t>D-F-068</t>
  </si>
  <si>
    <t>设备信息修改（可运行）</t>
  </si>
  <si>
    <t>1. 编码、名称不可修改；2. 关联工位需有效；3. 报废时弹出确认提示；4. 保存后同步更新；5. 操作有日志记录</t>
  </si>
  <si>
    <t>1.01-06 17:00（第 1 周）：初始 “待交付”；2.01-10 17:00（第 1 周）：依赖设备信息新增功能完成，启动开发，状态 “开发中”；3.01-11 17:00（第 1 周）：开发完成，状态更新为 “待验收”；4.01-12 17:00（第 1 周）：张伟验收通过</t>
  </si>
  <si>
    <t>已关联巡检计划的设备报废前需终止计划</t>
  </si>
  <si>
    <t>PB-EQ-003</t>
  </si>
  <si>
    <t>MES-EQ-03</t>
  </si>
  <si>
    <t>D-F-069</t>
  </si>
  <si>
    <t>设备信息删除（可运行）</t>
  </si>
  <si>
    <t>1. 删除前弹出确认提示；2. 已关联业务记录的禁止删除；3. 仅报废状态可删除；4. 删除后不再显示；5. 操作有日志记录</t>
  </si>
  <si>
    <t>1.01-06 17:00（第 1 周）：初始 “待交付”；2.01-11 17:00（第 1 周）：依赖设备信息新增功能完成，启动开发，状态 “开发中”；3.01-12 17:00（第 1 周）：开发完成，状态更新为 “待验收”；4.01-13 17:00（第 1 周）：张伟验收通过</t>
  </si>
  <si>
    <t>建议删除前备份设备信息</t>
  </si>
  <si>
    <t>PB-EQ-004</t>
  </si>
  <si>
    <t>MES-EQ-04</t>
  </si>
  <si>
    <t>D-F-070</t>
  </si>
  <si>
    <t>设备巡检计划新增（可运行）</t>
  </si>
  <si>
    <t>1. 必填项为空提示；2. 同一设备 + 频率唯一；3. 巡检时间格式正确；4. 至少选择 1 个点检项目；5. 保存后列表同步显示</t>
  </si>
  <si>
    <t>1.01-06 17:00（第 1 周）：初始 “待交付”；2.01-14 17:00（第 2 周）：依赖设备信息新增功能完成，启动开发，状态 “开发中”；3.01-15 17:00（第 2 周）：开发完成，状态更新为 “待验收”；4.01-16 17:00（第 2 周）：张伟验收通过</t>
  </si>
  <si>
    <t>支持按设备批量创建计划</t>
  </si>
  <si>
    <t>PB-EQ-005</t>
  </si>
  <si>
    <t>MES-EQ-05</t>
  </si>
  <si>
    <t>D-F-071</t>
  </si>
  <si>
    <t>设备巡检计划查询（可运行）</t>
  </si>
  <si>
    <t>1. 名称 / 设备名称模糊匹配；2. 多条件组合筛选；3. 点击名称查看详情及执行记录；4. 无结果提示对应信息；5. 支持按创建时间排序</t>
  </si>
  <si>
    <t>1.01-06 17:00（第 1 周）：初始 “待交付”；2.01-15 17:00（第 2 周）：依赖设备巡检计划新增功能完成，启动开发，状态 “开发中”；3.01-16 17:00（第 2 周）：开发完成，状态更新为 “待验收”；4.01-17 17:00（第 2 周）：张伟验收通过</t>
  </si>
  <si>
    <t>支持导出计划及执行记录（Excel 格式）</t>
  </si>
  <si>
    <t>PB-EQ-006</t>
  </si>
  <si>
    <t>MES-EQ-06</t>
  </si>
  <si>
    <t>D-F-072</t>
  </si>
  <si>
    <t>设备巡检计划修改（可运行）</t>
  </si>
  <si>
    <t>1. 已执行的计划禁止修改；2. 频率修改后执行周期同步更新；3. 点检项目至少保留 1 项；4. 保存后同步更新；5. 操作有日志记录</t>
  </si>
  <si>
    <t>1.01-06 17:00（第 1 周）：初始 “待交付”；2.01-16 17:00（第 2 周）：依赖设备巡检计划新增功能完成，启动开发，状态 “开发中”；3.01-17 17:00（第 2 周）：开发完成，状态更新为 “待验收”；4.01-18 17:00（第 2 周）：张伟验收通过</t>
  </si>
  <si>
    <t>已启用的计划修改后需重新确认执行时间</t>
  </si>
  <si>
    <t>PB-EQ-007</t>
  </si>
  <si>
    <t>MES-EQ-07</t>
  </si>
  <si>
    <t>D-F-073</t>
  </si>
  <si>
    <t>设备巡检计划删除（可运行）</t>
  </si>
  <si>
    <t>1. 删除前弹出确认提示；2. 已执行的计划禁止删除；3. 仅未执行 / 禁用状态可删除；4. 删除后不再显示；5. 操作有日志记录</t>
  </si>
  <si>
    <t>1.01-06 17:00（第 1 周）：初始 “待交付”；2.01-17 17:00（第 2 周）：依赖设备巡检计划新增功能完成，启动开发，状态 “开发中”；3.01-18 17:00（第 2 周）：开发完成，状态更新为 “待验收”；4.01-19 17:00（第 2 周）：张伟验收通过</t>
  </si>
  <si>
    <t>删除不影响已生成的执行记录</t>
  </si>
  <si>
    <t>PB-EQ-008</t>
  </si>
  <si>
    <t>MES-EQ-08</t>
  </si>
  <si>
    <t>D-F-074</t>
  </si>
  <si>
    <t>仓库信息新增（可运行）</t>
  </si>
  <si>
    <t>仓库管理（WH）</t>
  </si>
  <si>
    <t>刘婷</t>
  </si>
  <si>
    <t>1. 必填项为空提示；2. 编码唯一；3. 负责人需有效；4. 保存后列表同步显示；5. 操作有日志记录</t>
  </si>
  <si>
    <t>1.01-06 17:00（第 1 周）：初始 “待交付”；2.01-09 17:00（第 1 周）：刘婷反馈开发中，状态更新为 “开发中”；3.01-10 17:00（第 1 周）：开发完成，状态更新为 “待验收”；4.01-11 17:00（第 1 周）：张伟验收通过</t>
  </si>
  <si>
    <t>仓库编码建议采用 “WH + 类型缩写 + 4 位序号” 格式</t>
  </si>
  <si>
    <t>PB-WH-001</t>
  </si>
  <si>
    <t>MES-WH-01</t>
  </si>
  <si>
    <t>D-F-075</t>
  </si>
  <si>
    <t>仓库信息查询（可运行）</t>
  </si>
  <si>
    <r>
      <rPr>
        <sz val="12"/>
        <color rgb="FF000000"/>
        <rFont val="宋体"/>
        <charset val="134"/>
      </rPr>
      <t>仓库管理（</t>
    </r>
    <r>
      <rPr>
        <sz val="12"/>
        <color rgb="FF000000"/>
        <rFont val="Segoe UI"/>
        <charset val="134"/>
      </rPr>
      <t>WH</t>
    </r>
    <r>
      <rPr>
        <sz val="12"/>
        <color rgb="FF000000"/>
        <rFont val="宋体"/>
        <charset val="134"/>
      </rPr>
      <t>）</t>
    </r>
  </si>
  <si>
    <t>1.01-06 17:00（第 1 周）：初始 “待交付”；2.01-10 17:00（第 1 周）：依赖仓库信息新增功能完成，启动开发，状态 “开发中”；3.01-11 17:00（第 1 周）：开发完成，状态更新为 “待验收”；4.01-12 17:00（第 1 周）：张伟验收通过</t>
  </si>
  <si>
    <t>支持导出仓库列表（Excel 格式）</t>
  </si>
  <si>
    <t>PB-WH-002</t>
  </si>
  <si>
    <t>MES-WH-02</t>
  </si>
  <si>
    <t>D-F-076</t>
  </si>
  <si>
    <t>仓库信息修改（可运行）</t>
  </si>
  <si>
    <t>1. 编码、名称不可修改；2. 负责人需有效；3. 禁用时弹出确认提示；4. 保存后同步更新；5. 操作有日志记录</t>
  </si>
  <si>
    <t>1.01-06 17:00（第 1 周）：初始 “待交付”；2.01-11 17:00（第 1 周）：依赖仓库信息新增功能完成，启动开发，状态 “开发中”；3.01-12 17:00（第 1 周）：开发完成，状态更新为 “待验收”；4.01-13 17:00（第 1 周）：张伟验收通过</t>
  </si>
  <si>
    <t>已关联库存的仓库禁用前需转移库存</t>
  </si>
  <si>
    <t>PB-WH-003</t>
  </si>
  <si>
    <t>MES-WH-03</t>
  </si>
  <si>
    <t>D-F-077</t>
  </si>
  <si>
    <t>仓库信息删除（可运行）</t>
  </si>
  <si>
    <t>1. 删除前弹出确认提示；2. 已关联库存的禁止删除；3. 仅禁用状态可删除；4. 删除后不再显示；5. 操作有日志记录</t>
  </si>
  <si>
    <t>1.01-06 17:00（第 1 周）：初始 “待交付”；2.01-12 17:00（第 1 周）：依赖仓库信息新增功能完成，启动开发，状态 “开发中”；3.01-13 17:00（第 1 周）：开发完成，状态更新为 “待验收”；4.01-14 17:00（第 1 周）：张伟验收通过</t>
  </si>
  <si>
    <t>建议删除前备份关联历史数据</t>
  </si>
  <si>
    <t>PB-WH-004</t>
  </si>
  <si>
    <t>MES-WH-04</t>
  </si>
  <si>
    <t>D-F-078</t>
  </si>
  <si>
    <t>即时库存查询（可运行）</t>
  </si>
  <si>
    <t>刘婷、王强</t>
  </si>
  <si>
    <t>1. 编码精确匹配，名称模糊匹配；2. 按仓库筛选；3. 展示核心字段；4. 数据同步延迟≤5 秒；5. 无结果提示对应信息</t>
  </si>
  <si>
    <t>1.01-06 17:00（第 1 周）：初始 “待交付”；2.01-17 17:00（第 2 周）：依赖物料、仓库信息功能完成，启动开发，状态 “开发中”；3.01-19 17:00（第 2 周）：开发完成，状态更新为 “待验收”；4.01-20 17:00（第 2 周）：张伟验收通过</t>
  </si>
  <si>
    <t>支持按实时数量排序</t>
  </si>
  <si>
    <t>PB-WH-005</t>
  </si>
  <si>
    <t>MES-WH-05</t>
  </si>
  <si>
    <t>D-F-079</t>
  </si>
  <si>
    <t>库存数据导出（可运行）</t>
  </si>
  <si>
    <t>1. 支持多条件筛选导出；2. 导出字段含核心信息；3. 文件名格式规范；4. 单次导出≤1000 条；5. 操作有日志记录</t>
  </si>
  <si>
    <t>1.01-06 17:00（第 1 周）：初始 “待交付”；2.01-18 17:00（第 2 周）：依赖即时库存查询功能完成，启动开发，状态 “开发中”；3.01-20 17:00（第 2 周）：开发完成，状态更新为 “待验收”；4.01-21 17:00（第 2 周）：张伟验收通过</t>
  </si>
  <si>
    <t>导出文件可直接用于线下盘点核对</t>
  </si>
  <si>
    <t>PB-WH-006</t>
  </si>
  <si>
    <t>MES-WH-06</t>
  </si>
  <si>
    <t>D-F-080</t>
  </si>
  <si>
    <t>销售订单新增（可运行）</t>
  </si>
  <si>
    <t>销售管理（SL）</t>
  </si>
  <si>
    <t>1. 必填项为空提示；2. 客户、产品需有效；3. 订单号自动生成且唯一；4. 提交后状态为 “待排产”，草稿状态为 “草稿”；5. 操作有日志记录</t>
  </si>
  <si>
    <t>1.01-06 17:00（第 1 周）：初始 “待交付”；2.01-13 17:00（第 2 周）：依赖客户、物料信息功能完成，启动开发，状态 “开发中”；3.01-14 17:00（第 2 周）：开发完成，状态更新为 “待验收”；4.01-15 17:00（第 2 周）：张伟验收通过</t>
  </si>
  <si>
    <t>产品单价支持自动关联基准价或手动调整</t>
  </si>
  <si>
    <t>PB-SL-001</t>
  </si>
  <si>
    <t>MES-SL-01</t>
  </si>
  <si>
    <t>D-F-081</t>
  </si>
  <si>
    <t>销售订单查询（可运行）</t>
  </si>
  <si>
    <t>1. 订单号精确匹配，客户名称模糊匹配；2. 多条件组合筛选；3. 分页展示（默认 20 条）；4. 点击订单号查看明细；5. 无结果提示对应信息</t>
  </si>
  <si>
    <t>1.01-06 17:00（第 1 周）：初始 “待交付”；2.01-14 17:00（第 2 周）：依赖销售订单新增功能完成，启动开发，状态 “开发中”；3.01-15 17:00（第 2 周）：开发完成，状态更新为 “待验收”；4.01-16 17:00（第 2 周）：张伟验收通过</t>
  </si>
  <si>
    <t>支持按下单时间排序</t>
  </si>
  <si>
    <t>PB-SL-002</t>
  </si>
  <si>
    <t>MES-SL-02</t>
  </si>
  <si>
    <t>D-F-082</t>
  </si>
  <si>
    <t>销售订单修改（可运行）</t>
  </si>
  <si>
    <t>1. 已排产 / 已出库的禁止修改；2. 数量≥1；3. 保存后同步更新；4. 操作有日志记录；5. 客户需有效</t>
  </si>
  <si>
    <t>1.01-06 17:00（第 1 周）：初始 “待交付”；2.01-15 17:00（第 2 周）：依赖销售订单新增功能完成，启动开发，状态 “开发中”；3.01-16 17:00（第 2 周）：开发完成，状态更新为 “待验收”；4.01-17 17:00（第 2 周）：张伟验收通过</t>
  </si>
  <si>
    <t>已提交的 “待排产” 订单修改后需重新确认状态</t>
  </si>
  <si>
    <t>PB-SL-003</t>
  </si>
  <si>
    <t>MES-SL-03</t>
  </si>
  <si>
    <t>D-F-083</t>
  </si>
  <si>
    <t>销售订单删除（可运行）</t>
  </si>
  <si>
    <r>
      <rPr>
        <sz val="12"/>
        <color rgb="FF000000"/>
        <rFont val="宋体"/>
        <charset val="134"/>
      </rPr>
      <t>销售管理（</t>
    </r>
    <r>
      <rPr>
        <sz val="12"/>
        <color rgb="FF000000"/>
        <rFont val="Segoe UI"/>
        <charset val="134"/>
      </rPr>
      <t>SL</t>
    </r>
    <r>
      <rPr>
        <sz val="12"/>
        <color rgb="FF000000"/>
        <rFont val="宋体"/>
        <charset val="134"/>
      </rPr>
      <t>）</t>
    </r>
  </si>
  <si>
    <t>1. 删除前弹出确认提示；2. 非草稿状态禁止删除；3. 删除后不再显示；4. 操作有日志记录；5. 已关联排产的需先取消关联</t>
  </si>
  <si>
    <t>1.01-06 17:00（第 1 周）：初始 “待交付”；2.01-16 17:00（第 2 周）：依赖销售订单新增功能完成，启动开发，状态 “开发中”；3.01-17 17:00（第 2 周）：开发完成，状态更新为 “待验收”；4.01-18 17:00（第 2 周）：张伟验收通过</t>
  </si>
  <si>
    <t>建议删除前确认无需使用</t>
  </si>
  <si>
    <t>PB-SL-004</t>
  </si>
  <si>
    <t>MES-SL-04</t>
  </si>
  <si>
    <t>D-F-084</t>
  </si>
  <si>
    <t>销售订单导出（可运行）</t>
  </si>
  <si>
    <t>1. 支持多条件筛选导出；2. 导出字段含核心信息；3. 文件名格式规范；4. 单次导出≤2000 条；5. 操作有日志记录</t>
  </si>
  <si>
    <t>1.01-06 17:00（第 1 周）：初始 “待交付”；2.01-17 17:00（第 2 周）：依赖销售订单查询功能完成，启动开发，状态 “开发中”；3.01-18 17:00（第 2 周）：开发完成，状态更新为 “待验收”；4.01-19 17:00（第 2 周）：张伟验收通过</t>
  </si>
  <si>
    <t>导出文件可直接用于客户对账</t>
  </si>
  <si>
    <t>PB-SL-005</t>
  </si>
  <si>
    <t>MES-SL-05</t>
  </si>
  <si>
    <t>D-F-085</t>
  </si>
  <si>
    <t>销售出库操作（可运行）</t>
  </si>
  <si>
    <t>1. 仅已排产且库存≥订单数量可出库；2. 出库数量≤订单数量及库存；3. 提交后状态更新并扣减库存；4. 物流单号必填；5. 操作有日志记录</t>
  </si>
  <si>
    <t>1.01-06 17:00（第 1 周）：初始 “待交付”；2.01-20 17:00（第 2 周）：依赖销售订单、即时库存功能完成，启动开发，状态 “开发中”；3.01-21 17:00（第 2 周）：开发完成，状态更新为 “待验收”；4.01-22 17:00（第 2 周）：张伟验收通过</t>
  </si>
  <si>
    <t>支持打印出库单作为发货凭证</t>
  </si>
  <si>
    <t>PB-SL-007</t>
  </si>
  <si>
    <t>MES-SL-07</t>
  </si>
  <si>
    <t>D-F-086</t>
  </si>
  <si>
    <t>销售出库单新增（可运行）</t>
  </si>
  <si>
    <t>1. 必填项为空提示；2. 仅支持成品物料出库；3. 出库数量≤库存；4. 出库单号自动生成且唯一；5. 操作有日志记录</t>
  </si>
  <si>
    <t>1.01-06 17:00（第 1 周）：初始 “待交付”；2.01-21 17:00（第 2 周）：依赖客户、仓库、物料信息功能完成，启动开发，状态 “开发中”；3.01-22 17:00（第 2 周）：开发完成，状态更新为 “待验收”；4.01-23 17:00（第 2 周）：张伟验收通过</t>
  </si>
  <si>
    <t>无订单出库需填写出库原因</t>
  </si>
  <si>
    <t>PB-SL-008</t>
  </si>
  <si>
    <t>MES-SL-08</t>
  </si>
  <si>
    <t>D-F-087</t>
  </si>
  <si>
    <t>销售出库单查询（可运行）</t>
  </si>
  <si>
    <t>1. 单号精确匹配，客户名称 / 物流单号模糊匹配；2. 多条件组合筛选；3. 分页展示（默认 20 条）；4. 点击单号查看明细；5. 无结果提示对应信息</t>
  </si>
  <si>
    <t>1.01-06 17:00（第 1 周）：初始 “待交付”；2.01-22 17:00（第 2 周）：依赖销售出库单新增功能完成，启动开发，状态 “开发中”；3.01-23 17:00（第 2 周）：开发完成，状态更新为 “待验收”；4.01-24 17:00（第 2 周）：张伟验收通过</t>
  </si>
  <si>
    <t>支持按出库时间排序</t>
  </si>
  <si>
    <t>PB-SL-009</t>
  </si>
  <si>
    <t>MES-SL-09</t>
  </si>
  <si>
    <t>D-F-088</t>
  </si>
  <si>
    <t>销售出库单修改（可运行）</t>
  </si>
  <si>
    <t>1. 仅草稿状态可修改；2. 出库数量≤库存；3. 保存后同步更新；4. 操作有日志记录；5. 客户需有效</t>
  </si>
  <si>
    <t>1.01-06 17:00（第 1 周）：初始 “待交付”；2.01-23 17:00（第 2 周）：依赖销售出库单新增功能完成，启动开发，状态 “开发中”；3.01-24 17:00（第 2 周）：开发完成，状态更新为 “待验收”；4.01-25 17:00（第 2 周）：张伟验收通过</t>
  </si>
  <si>
    <t>已提交的需先撤回</t>
  </si>
  <si>
    <t>PB-SL-010</t>
  </si>
  <si>
    <t>MES-SL-10</t>
  </si>
  <si>
    <t>D-F-089</t>
  </si>
  <si>
    <t>销售出库单删除（可运行）</t>
  </si>
  <si>
    <t>1. 删除前弹出确认提示；2. 非草稿状态禁止删除；3. 删除后不再显示；4. 操作有日志记录；5. 不影响实际库存</t>
  </si>
  <si>
    <t>1.01-06 17:00（第 1 周）：初始 “待交付”；2.01-24 17:00（第 2 周）：依赖销售出库单新增功能完成，启动开发，状态 “开发中”；3.01-25 17:00（第 2 周）：开发完成，状态更新为 “待验收”；4.01-26 17:00（第 2 周）：张伟验收通过</t>
  </si>
  <si>
    <t>PB-SL-011</t>
  </si>
  <si>
    <t>MES-SL-11</t>
  </si>
  <si>
    <t>D-F-090</t>
  </si>
  <si>
    <t>采购订单新增（可运行）</t>
  </si>
  <si>
    <t>采购管理（PO）</t>
  </si>
  <si>
    <t>1. 必填项为空提示；2. 供应商、物料需有效；3. 订单号自动生成且唯一；4. 提交后状态为 “待审核”，草稿状态为 “草稿”；5. 操作有日志记录</t>
  </si>
  <si>
    <t>1.01-06 17:00（第 1 周）：初始 “待交付”；2.01-12 17:00（第 1 周）：依赖供应商、物料信息功能完成，启动开发，状态 “开发中”；3.01-13 17:00（第 1 周）：开发完成，状态更新为 “待验收”；4.01-14 17:00（第 1 周）：张伟验收通过</t>
  </si>
  <si>
    <t>物料单价支持自动关联报价或手动调整</t>
  </si>
  <si>
    <t>PB-PO-001</t>
  </si>
  <si>
    <t>MES-PO-01</t>
  </si>
  <si>
    <t>D-F-091</t>
  </si>
  <si>
    <t>采购订单查询（可运行）</t>
  </si>
  <si>
    <t>1. 订单号精确匹配，供应商名称模糊匹配；2. 多条件组合筛选；3. 分页展示（默认 20 条）；4. 点击订单号查看明细；5. 无结果提示对应信息</t>
  </si>
  <si>
    <t>1.01-06 17:00（第 1 周）：初始 “待交付”；2.01-13 17:00（第 1 周）：依赖采购订单新增功能完成，启动开发，状态 “开发中”；3.01-14 17:00（第 1 周）：开发完成，状态更新为 “待验收”；4.01-15 17:00（第 1 周）：张伟验收通过</t>
  </si>
  <si>
    <t>PB-PO-002</t>
  </si>
  <si>
    <t>MES-PO-02</t>
  </si>
  <si>
    <t>D-F-092</t>
  </si>
  <si>
    <t>采购订单修改（可运行）</t>
  </si>
  <si>
    <r>
      <rPr>
        <sz val="12"/>
        <color rgb="FF000000"/>
        <rFont val="宋体"/>
        <charset val="134"/>
      </rPr>
      <t>采购管理（</t>
    </r>
    <r>
      <rPr>
        <sz val="12"/>
        <color rgb="FF000000"/>
        <rFont val="Segoe UI"/>
        <charset val="134"/>
      </rPr>
      <t>PO</t>
    </r>
    <r>
      <rPr>
        <sz val="12"/>
        <color rgb="FF000000"/>
        <rFont val="宋体"/>
        <charset val="134"/>
      </rPr>
      <t>）</t>
    </r>
  </si>
  <si>
    <t>1. 已审核 / 已入库的禁止修改；2. 数量≥1；3. 保存后同步更新；4. 操作有日志记录；5. 供应商需有效</t>
  </si>
  <si>
    <t>1.01-06 17:00（第 1 周）：初始 “待交付”；2.01-14 17:00（第 1 周）：依赖采购订单新增功能完成，启动开发，状态 “开发中”；3.01-15 17:00（第 1 周）：开发完成，状态更新为 “待验收”；4.01-16 17:00（第 1 周）：张伟验收通过</t>
  </si>
  <si>
    <t>已提交的 “待审核” 订单修改后需重新提交审核</t>
  </si>
  <si>
    <t>PB-PO-003</t>
  </si>
  <si>
    <t>MES-PO-03</t>
  </si>
  <si>
    <t>D-F-093</t>
  </si>
  <si>
    <t>采购订单删除（可运行）</t>
  </si>
  <si>
    <t>1. 删除前弹出确认提示；2. 非草稿状态禁止删除；3. 删除后不再显示；4. 操作有日志记录；5. 已关联报价的需先取消关联</t>
  </si>
  <si>
    <t>1.01-06 17:00（第 1 周）：初始 “待交付”；2.01-15 17:00（第 1 周）：依赖采购订单新增功能完成，启动开发，状态 “开发中”；3.01-16 17:00（第 1 周）：开发完成，状态更新为 “待验收”；4.01-17 17:00（第 1 周）：张伟验收通过</t>
  </si>
  <si>
    <t>PB-PO-004</t>
  </si>
  <si>
    <t>MES-PO-04</t>
  </si>
  <si>
    <t>D-F-094</t>
  </si>
  <si>
    <t>采购订单审核（可运行）</t>
  </si>
  <si>
    <t>1. 仅待审核状态可审核；2. 审核通过后状态更新为 “已审核”；3. 审核不通过需填写原因；4. 操作有日志记录；5. 审核通过后不可修改 / 删除</t>
  </si>
  <si>
    <t>1.01-06 17:00（第 1 周）：初始 “待交付”；2.01-16 17:00（第 1 周）：依赖采购订单新增功能完成，启动开发，状态 “开发中”；3.01-17 17:00（第 1 周）：开发完成，状态更新为 “待验收”；4.01-18 17:00（第 1 周）：张伟验收通过</t>
  </si>
  <si>
    <t>支持打印订单作为下单凭证</t>
  </si>
  <si>
    <t>PB-PO-005</t>
  </si>
  <si>
    <t>MES-PO-05</t>
  </si>
  <si>
    <t>D-F-095</t>
  </si>
  <si>
    <t>采购入库操作（可运行）</t>
  </si>
  <si>
    <t>1. 仅已审核状态可入库；2. 入库数量≤订单数量；3. 提交后状态更新并增加库存；4. 入库仓库需有效；5. 操作有日志记录</t>
  </si>
  <si>
    <t>1.01-06 17:00（第 1 周）：初始 “待交付”；2.01-19 17:00（第 2 周）：依赖采购订单审核、仓库信息功能完成，启动开发，状态 “开发中”；3.01-20 17:00（第 2 周）：开发完成，状态更新为 “待验收”；4.01-21 17:00（第 2 周）：张伟验收通过</t>
  </si>
  <si>
    <t>支持打印入库单作为记账凭证</t>
  </si>
  <si>
    <t>PB-PO-006</t>
  </si>
  <si>
    <t>MES-PO-06</t>
  </si>
  <si>
    <t>D-F-096</t>
  </si>
  <si>
    <t>采购入库单新增（可运行）</t>
  </si>
  <si>
    <t>1. 必填项为空提示；2. 物料需有效；3. 入库单号自动生成且唯一；4. 保存后状态为 “草稿”；5. 操作有日志记录</t>
  </si>
  <si>
    <t>1.01-06 17:00（第 1 周）：初始 “待交付”；2.01-20 17:00（第 2 周）：依赖供应商、仓库、物料信息功能完成，启动开发，状态 “开发中”；3.01-21 17:00（第 2 周）：开发完成，状态更新为 “待验收”；4.01-22 17:00（第 2 周）：张伟验收通过</t>
  </si>
  <si>
    <t>入库原因支持预设选项</t>
  </si>
  <si>
    <t>PB-PO-007</t>
  </si>
  <si>
    <t>MES-PO-07</t>
  </si>
  <si>
    <t>D-F-097</t>
  </si>
  <si>
    <t>采购入库单查询（可运行）</t>
  </si>
  <si>
    <t>1. 单号精确匹配，供应商名称模糊匹配；2. 多条件组合筛选；3. 分页展示（默认 20 条）；4. 点击单号查看明细；5. 无结果提示对应信息</t>
  </si>
  <si>
    <t>1.01-06 17:00（第 1 周）：初始 “待交付”；2.01-21 17:00（第 2 周）：依赖采购入库单新增功能完成，启动开发，状态 “开发中”；3.01-22 17:00（第 2 周）：开发完成，状态更新为 “待验收”；4.01-23 17:00（第 2 周）：张伟验收通过</t>
  </si>
  <si>
    <t>支持按入库时间排序</t>
  </si>
  <si>
    <t>PB-PO-008</t>
  </si>
  <si>
    <t>MES-PO-08</t>
  </si>
  <si>
    <t>D-F-098</t>
  </si>
  <si>
    <t>采购入库单修改（可运行）</t>
  </si>
  <si>
    <t>1. 仅草稿状态可修改；2. 数量≥1；3. 保存后同步更新；4. 操作有日志记录；5. 供应商需有效</t>
  </si>
  <si>
    <t>1.01-06 17:00（第 1 周）：初始 “待交付”；2.01-22 17:00（第 2 周）：依赖采购入库单新增功能完成，启动开发，状态 “开发中”；3.01-23 17:00（第 2 周）：开发完成，状态更新为 “待验收”；4.01-24 17:00（第 2 周）：张伟验收通过</t>
  </si>
  <si>
    <t>PB-PO-009</t>
  </si>
  <si>
    <t>MES-PO-09</t>
  </si>
  <si>
    <t>D-F-099</t>
  </si>
  <si>
    <t>采购入库单删除（可运行）</t>
  </si>
  <si>
    <t>1.01-06 17:00（第 1 周）：初始 “待交付”；2.01-23 17:00（第 2 周）：依赖采购入库单新增功能完成，启动开发，状态 “开发中”；3.01-24 17:00（第 2 周）：开发完成，状态更新为 “待验收”；4.01-25 17:00（第 2 周）：张伟验收通过</t>
  </si>
  <si>
    <t>PB-PO-010</t>
  </si>
  <si>
    <t>MES-PO-10</t>
  </si>
  <si>
    <t>D-D-005</t>
  </si>
  <si>
    <t>迭代 2 测试报告</t>
  </si>
  <si>
    <t>全模块</t>
  </si>
  <si>
    <t>文档交付物</t>
  </si>
  <si>
    <t>赵燕</t>
  </si>
  <si>
    <t>1. 含测试用例（覆盖所有 46 个功能）；2. 缺陷记录及修复情况；3. 通过率分析（目标≥95%）</t>
  </si>
  <si>
    <t>1.01-06 17:00（第 1 周）：初始 “待交付”；2.01-23 17:00（第 2 周）：初稿完成，状态更新为 “开发中（初稿）”；3.01-25 17:00（第 2 周）：终稿完成，状态更新为 “待验收”；4.01-26 17:00（第 2 周）：张伟验收通过</t>
  </si>
  <si>
    <t>覆盖迭代 2 所有功能交付物</t>
  </si>
  <si>
    <t>D-D-006</t>
  </si>
  <si>
    <t>销售与采购流程规范文档</t>
  </si>
  <si>
    <t>张伟</t>
  </si>
  <si>
    <t>1. 含销售订单 - 出库全流程说明；2. 采购订单 - 入库全流程说明；3. 异常场景处理规则</t>
  </si>
  <si>
    <t>1.01-06 17:00（第 1 周）：初始 “待交付”；2.01-22 17:00（第 2 周）：张伟反馈编制完成，状态更新为 “待验收”；3.01-24 17:00（第 2 周）：技术负责人王强审核通过</t>
  </si>
  <si>
    <t>D-C-004</t>
  </si>
  <si>
    <t>迭代 2 前端代码</t>
  </si>
  <si>
    <t>代码交付物</t>
  </si>
  <si>
    <t>1. 符合开发规范；2. 与设计稿一致；3. 无控制台报错；4. 提交至 iter2-front 分支</t>
  </si>
  <si>
    <t>1.01-06 17:00（第 1 周）：初始 “待交付”；2.01-23 17:00（第 2 周）：完成 90%，状态更新为 “开发中”；3.01-24 17:00（第 2 周）：开发完成，状态更新为 “待验收”；4.01-25 17:00（第 2 周）：王强代码审核通过</t>
  </si>
  <si>
    <t>含销售、采购、设备、仓库模块前端实现</t>
  </si>
  <si>
    <t>D-C-005</t>
  </si>
  <si>
    <t>迭代 2 后端接口代码</t>
  </si>
  <si>
    <t>1. 逻辑正确；2. 接口可用；3. 注释完整；4. 提交至 iter2-back 分支</t>
  </si>
  <si>
    <t>1.01-06 17:00（第 1 周）：初始 “待交付”；2.01-24 17:00（第 2 周）：完成 85%，状态更新为 “开发中”；3.01-25 17:00（第 2 周）：开发完成，状态更新为 “待验收”；4.01-26 17:00（第 2 周）：陈明数据库校验通过</t>
  </si>
  <si>
    <t>含销售、采购、设备、仓库模块接口实现</t>
  </si>
  <si>
    <r>
      <rPr>
        <b/>
        <sz val="13.5"/>
        <color rgb="FF000000"/>
        <rFont val="宋体"/>
        <charset val="134"/>
      </rPr>
      <t>一、整体交付概览（截至</t>
    </r>
    <r>
      <rPr>
        <b/>
        <sz val="13.5"/>
        <color rgb="FF000000"/>
        <rFont val="Segoe UI"/>
        <charset val="134"/>
      </rPr>
      <t xml:space="preserve"> 2026 </t>
    </r>
    <r>
      <rPr>
        <b/>
        <sz val="13.5"/>
        <color rgb="FF000000"/>
        <rFont val="宋体"/>
        <charset val="134"/>
      </rPr>
      <t>年</t>
    </r>
    <r>
      <rPr>
        <b/>
        <sz val="13.5"/>
        <color rgb="FF000000"/>
        <rFont val="Segoe UI"/>
        <charset val="134"/>
      </rPr>
      <t xml:space="preserve"> 1 </t>
    </r>
    <r>
      <rPr>
        <b/>
        <sz val="13.5"/>
        <color rgb="FF000000"/>
        <rFont val="宋体"/>
        <charset val="134"/>
      </rPr>
      <t>月</t>
    </r>
    <r>
      <rPr>
        <b/>
        <sz val="13.5"/>
        <color rgb="FF000000"/>
        <rFont val="Segoe UI"/>
        <charset val="134"/>
      </rPr>
      <t xml:space="preserve"> 26 </t>
    </r>
    <r>
      <rPr>
        <b/>
        <sz val="13.5"/>
        <color rgb="FF000000"/>
        <rFont val="宋体"/>
        <charset val="134"/>
      </rPr>
      <t>日）</t>
    </r>
  </si>
  <si>
    <t>统计维度</t>
  </si>
  <si>
    <t>数量（项） / 占比</t>
  </si>
  <si>
    <t>明细说明</t>
  </si>
  <si>
    <t>交付物总项数</t>
  </si>
  <si>
    <t>验收通过项数</t>
  </si>
  <si>
    <t>待验收项数</t>
  </si>
  <si>
    <t>开发中项数</t>
  </si>
  <si>
    <t>验收不通过项数</t>
  </si>
  <si>
    <t>延迟交付项数</t>
  </si>
  <si>
    <t>整体完成率</t>
  </si>
  <si>
    <t>按“验收通过项数/总项数”计算</t>
  </si>
  <si>
    <t>二、按模块交付统计</t>
  </si>
  <si>
    <t>交付物总项数（项）</t>
  </si>
  <si>
    <t>验收通过项数（项）</t>
  </si>
  <si>
    <t>完成率</t>
  </si>
  <si>
    <t>未完成项说明（如有）</t>
  </si>
  <si>
    <t>责任团队</t>
  </si>
  <si>
    <t>刘婷、陈明</t>
  </si>
  <si>
    <t>王强、陈明</t>
  </si>
  <si>
    <t>王强、刘婷、陈明</t>
  </si>
  <si>
    <t>赵燕、陈明、王强、孙涛</t>
  </si>
  <si>
    <t>模块合计</t>
  </si>
  <si>
    <t>-</t>
  </si>
  <si>
    <t>三、按交付类型统计</t>
  </si>
  <si>
    <t>总项数（项）</t>
  </si>
  <si>
    <t>说明</t>
  </si>
  <si>
    <t>关键责任人</t>
  </si>
  <si>
    <t>刘婷、王强、陈明</t>
  </si>
  <si>
    <t>王强、孙涛、赵燕</t>
  </si>
  <si>
    <t>配置交付物</t>
  </si>
  <si>
    <t>类型合计</t>
  </si>
  <si>
    <t>四、按周度交付统计（关键时间节点）</t>
  </si>
  <si>
    <t>周度</t>
  </si>
  <si>
    <t>计划交付项数（项）</t>
  </si>
  <si>
    <t>实际完成项数（项）</t>
  </si>
  <si>
    <t>延迟项说明</t>
  </si>
  <si>
    <t>本周核心成果</t>
  </si>
  <si>
    <t>第一周（2026.1.6-1.12）</t>
  </si>
  <si>
    <t>无延迟</t>
  </si>
  <si>
    <t>1. 完成无依赖核心功能（角色新增、字典新增）；
2. 输出数据库设计文档、前端设计稿；
3. 完成第一周测试用例初稿</t>
  </si>
  <si>
    <t>第二周（2026.1.13-1.19）</t>
  </si>
  <si>
    <t>1. 完成依赖类功能（用户新增、参数设置）；
2. 输出后端接口文档（80%）；
3. 完成基础数据维护功能开发</t>
  </si>
  <si>
    <t>第三周（2026.1.20-2026.1.26）</t>
  </si>
  <si>
    <t>1. 完成功能集成测试与缺陷修复；
2. 输出迭代 1 测试报告（终稿）；
3. 完成所有代码提交与配置文件交付</t>
  </si>
  <si>
    <t>周度合计</t>
  </si>
  <si>
    <t>交付物清单表格填写使用说明</t>
  </si>
  <si>
    <t>适配文档版本</t>
  </si>
  <si>
    <t>生效日期</t>
  </si>
  <si>
    <t>编制人</t>
  </si>
  <si>
    <t>李静（敏捷教练）</t>
  </si>
  <si>
    <t>文档基础信息</t>
  </si>
  <si>
    <t>项目</t>
  </si>
  <si>
    <t>文档用途</t>
  </si>
  <si>
    <t>1. 跟踪迭代 1 全周期（2025.12.15-2026.01.05）所有交付物的开发、验收、归档进度；</t>
  </si>
  <si>
    <t>2. 作为迭代评审会、项目归档的核心依据，确保交付物完整性与合规性；</t>
  </si>
  <si>
    <t>3. 联动冲刺待办列表，避免 “任务完成但交付缺失” 的情况。</t>
  </si>
  <si>
    <t>适用角色</t>
  </si>
  <si>
    <r>
      <rPr>
        <sz val="12"/>
        <color rgb="FF000000"/>
        <rFont val="Segoe UI"/>
        <charset val="134"/>
      </rPr>
      <t>1. </t>
    </r>
    <r>
      <rPr>
        <b/>
        <sz val="12"/>
        <color rgb="FF000000"/>
        <rFont val="Segoe UI"/>
        <charset val="134"/>
      </rPr>
      <t>责任认领人</t>
    </r>
    <r>
      <rPr>
        <sz val="12"/>
        <color rgb="FF000000"/>
        <rFont val="Segoe UI"/>
        <charset val="134"/>
      </rPr>
      <t>（刘婷 / 王强 / 陈明等）：更新交付进度、填写实际交付时间；</t>
    </r>
  </si>
  <si>
    <r>
      <rPr>
        <sz val="12"/>
        <color rgb="FF000000"/>
        <rFont val="Segoe UI"/>
        <charset val="134"/>
      </rPr>
      <t>2. </t>
    </r>
    <r>
      <rPr>
        <b/>
        <sz val="12"/>
        <color rgb="FF000000"/>
        <rFont val="Segoe UI"/>
        <charset val="134"/>
      </rPr>
      <t>维护人</t>
    </r>
    <r>
      <rPr>
        <sz val="12"/>
        <color rgb="FF000000"/>
        <rFont val="Segoe UI"/>
        <charset val="134"/>
      </rPr>
      <t>（李静）：每日同步状态、记录更新痕迹、解决填写冲突；</t>
    </r>
  </si>
  <si>
    <r>
      <rPr>
        <sz val="12"/>
        <color rgb="FF000000"/>
        <rFont val="Segoe UI"/>
        <charset val="134"/>
      </rPr>
      <t>3. </t>
    </r>
    <r>
      <rPr>
        <b/>
        <sz val="12"/>
        <color rgb="FF000000"/>
        <rFont val="Segoe UI"/>
        <charset val="134"/>
      </rPr>
      <t>验收人</t>
    </r>
    <r>
      <rPr>
        <sz val="12"/>
        <color rgb="FF000000"/>
        <rFont val="Segoe UI"/>
        <charset val="134"/>
      </rPr>
      <t>（张伟 / 王强 / 刘婷等）：验证交付物，填写验收结果；</t>
    </r>
  </si>
  <si>
    <r>
      <rPr>
        <sz val="12"/>
        <color rgb="FF000000"/>
        <rFont val="Segoe UI"/>
        <charset val="134"/>
      </rPr>
      <t>4. </t>
    </r>
    <r>
      <rPr>
        <b/>
        <sz val="12"/>
        <color rgb="FF000000"/>
        <rFont val="Segoe UI"/>
        <charset val="134"/>
      </rPr>
      <t>项目管理者</t>
    </r>
    <r>
      <rPr>
        <sz val="12"/>
        <color rgb="FF000000"/>
        <rFont val="Segoe UI"/>
        <charset val="134"/>
      </rPr>
      <t>：通过统计数据（Sheet3）监控迭代整体交付进度。</t>
    </r>
  </si>
  <si>
    <t>版本管理规则</t>
  </si>
  <si>
    <t>1. 若需新增 / 删除交付物，需同步更新 “交付物 ID”（按类型顺延编码，如新增功能交付物为 D-F-009）；</t>
  </si>
  <si>
    <t>2. 版本更新需在 “文档基础信息” 栏标注 “修订版 Vx.x.x” 及修订日期，修订内容记录在 “常见问题处理” 后附的 “修订记录” 中；</t>
  </si>
  <si>
    <t>3. 旧版本文档需存档，命名格式为 “迭代 1 交付物清单 Vx.x.x-YYYYMMDD.xlsx”。</t>
  </si>
  <si>
    <t>交付清单字段填写规范</t>
  </si>
  <si>
    <t>字段名称</t>
  </si>
  <si>
    <t>填写要求</t>
  </si>
  <si>
    <t>格式示例</t>
  </si>
  <si>
    <t>注意事项</t>
  </si>
  <si>
    <t>交付物 ID*</t>
  </si>
  <si>
    <t>固定编码，不可修改：</t>
  </si>
  <si>
    <t>D-F-004</t>
  </si>
  <si>
    <t>新增交付物需按类型顺延编码，不可重复</t>
  </si>
  <si>
    <t>- D-F：功能交付物（如 D-F-001）</t>
  </si>
  <si>
    <t>- D-D：文档交付物（如 D-D-001）</t>
  </si>
  <si>
    <t>- D-C：代码交付物（如 D-C-001）</t>
  </si>
  <si>
    <t>- D-CF：配置交付物（如 D-CF-001）</t>
  </si>
  <si>
    <t>交付物名称 *</t>
  </si>
  <si>
    <t>简洁描述交付物内容，与冲刺待办列表任务对应</t>
  </si>
  <si>
    <t>角色新增 / 修改 / 删除功能（可运行）</t>
  </si>
  <si>
    <t>避免模糊表述（如不写 “角色相关功能”）</t>
  </si>
  <si>
    <t>所属模块 *</t>
  </si>
  <si>
    <t>按 “用户管理模块 / 系统配置模块 / 基础数据模块 / 项目管理” 四选一填写</t>
  </si>
  <si>
    <t>用户管理模块</t>
  </si>
  <si>
    <t>与冲刺待办列表的 “所属模块” 保持一致</t>
  </si>
  <si>
    <t>交付类型 *</t>
  </si>
  <si>
    <r>
      <rPr>
        <sz val="12"/>
        <color rgb="FF000000"/>
        <rFont val="Segoe UI"/>
        <charset val="134"/>
      </rPr>
      <t>下拉选择：</t>
    </r>
    <r>
      <rPr>
        <sz val="10.8"/>
        <color rgb="FF000000"/>
        <rFont val="Consolas"/>
        <charset val="134"/>
      </rPr>
      <t>功能交付物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文档交付物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代码交付物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配置交付物</t>
    </r>
  </si>
  <si>
    <t>不可手动输入，需从预设选项中选择</t>
  </si>
  <si>
    <t>责任认领人 *</t>
  </si>
  <si>
    <t>填写姓名全称，与冲刺待办列表 “认领人” 一致</t>
  </si>
  <si>
    <t>多人协作需填写主要责任人（如 “王强 / 陈明”）</t>
  </si>
  <si>
    <t>核心验收标准 *</t>
  </si>
  <si>
    <t>提炼 3-5 条关键验收点，直接引用冲刺待办列表 “验收标准要点”</t>
  </si>
  <si>
    <t>1. 角色名称空校验；2. 权限联动实时更新</t>
  </si>
  <si>
    <t>避免冗余，不写 “符合行业标准” 等模糊表述</t>
  </si>
  <si>
    <t>计划交付时间 *</t>
  </si>
  <si>
    <t>日期格式（YYYY-MM-DD），与迭代排期对齐</t>
  </si>
  <si>
    <t>需在迭代周期内（2025.12.15-2026.01.05）</t>
  </si>
  <si>
    <t>交付物提交验收时填写，日期格式（YYYY-MM-DD）</t>
  </si>
  <si>
    <t>未交付时留空，交付后 24 小时内填写</t>
  </si>
  <si>
    <t>交付状态 *</t>
  </si>
  <si>
    <r>
      <rPr>
        <sz val="12"/>
        <color rgb="FF000000"/>
        <rFont val="Segoe UI"/>
        <charset val="134"/>
      </rPr>
      <t>下拉选择：</t>
    </r>
    <r>
      <rPr>
        <sz val="10.8"/>
        <color rgb="FF000000"/>
        <rFont val="Consolas"/>
        <charset val="134"/>
      </rPr>
      <t>待交付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开发中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待验收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验收通过</t>
    </r>
    <r>
      <rPr>
        <sz val="12"/>
        <color rgb="FF000000"/>
        <rFont val="Segoe UI"/>
        <charset val="134"/>
      </rPr>
      <t>/</t>
    </r>
    <r>
      <rPr>
        <sz val="10.8"/>
        <color rgb="FF000000"/>
        <rFont val="Consolas"/>
        <charset val="134"/>
      </rPr>
      <t>验收不通过</t>
    </r>
  </si>
  <si>
    <t>状态流转需符合逻辑（如 “开发中”→“待验收”，不可跳至 “验收通过”）</t>
  </si>
  <si>
    <t>更新记录 *</t>
  </si>
  <si>
    <t>格式：“日期 时间：操作内容”，每次状态变更需新增一条记录</t>
  </si>
  <si>
    <t>12-18 17:00：张伟验收通过，状态更新为 “验收通过”</t>
  </si>
  <si>
    <t>需注明操作人（如 “刘婷反馈”“张伟验收”），确保可追溯</t>
  </si>
  <si>
    <t>填写特殊说明（如延迟原因、依赖关系、验收不通过的 bug 详情）</t>
  </si>
  <si>
    <t>延迟 1 天（因核心字典删除漏洞修复）</t>
  </si>
  <si>
    <t>无特殊情况时留空，不写无关信息</t>
  </si>
  <si>
    <t>维护流程与分工</t>
  </si>
  <si>
    <t>时间节点</t>
  </si>
  <si>
    <t>操作人</t>
  </si>
  <si>
    <t>核心动作</t>
  </si>
  <si>
    <t>输出结果</t>
  </si>
  <si>
    <t>每日 9:30 站会前</t>
  </si>
  <si>
    <t>检查负责的交付物状态，更新 “开发中” 进度（如 “开发中（80%）”），填写延迟原因（若有）</t>
  </si>
  <si>
    <t>交付物状态与实际进度一致</t>
  </si>
  <si>
    <t>每日 17:00 站会后</t>
  </si>
  <si>
    <t>李静（维护人）</t>
  </si>
  <si>
    <t>1. 汇总责任认领人的更新，同步修改 “交付状态”；</t>
  </si>
  <si>
    <t>“更新记录” 完整，状态无遗漏</t>
  </si>
  <si>
    <t>2. 记录更新痕迹（新增 “更新记录”）；</t>
  </si>
  <si>
    <t>3. 标记延迟交付项（实际 &gt; 计划）、验收不通过项</t>
  </si>
  <si>
    <t>交付物提交后 24 小时内</t>
  </si>
  <si>
    <t>验收人</t>
  </si>
  <si>
    <t>验证交付物（如张伟验收功能、王强验收代码），反馈验收结果</t>
  </si>
  <si>
    <t>“交付状态” 更新为 “验收通过” 或 “验收不通过”，“验收人” 填写姓名</t>
  </si>
  <si>
    <t>每周五 18:00 周评审前</t>
  </si>
  <si>
    <t>1. 核对 Sheet3 统计数据（确保与 Sheet1 一致）；</t>
  </si>
  <si>
    <t>周进度报告（含完成率、延迟项）</t>
  </si>
  <si>
    <t>2. 导出本周进度快照（截图或 PDF），同步至团队群</t>
  </si>
  <si>
    <t>关键角色职责</t>
  </si>
  <si>
    <t>责任认领人：对交付物质量和进度负责，需主动同步风险（如预计延迟），不可逾期未更新状态；
维护人（李静）：确保清单数据准确，解决填写冲突（如多人同时修改同一字段），每周清理无效信息（如重复的更新记录）；
验收人：需提供明确的验收结果（不可模糊表述 “基本符合”），验收不通过时需注明具体问题（如 “角色权限联动失败”）。</t>
  </si>
  <si>
    <t>常见问题处理</t>
  </si>
  <si>
    <t>常见问题</t>
  </si>
  <si>
    <t>解决方案</t>
  </si>
  <si>
    <t>示例</t>
  </si>
  <si>
    <t>交付状态填错了（如误选 “验收通过”）</t>
  </si>
  <si>
    <t>1. 维护人（李静）在 “更新记录” 中新增一条修正记录；</t>
  </si>
  <si>
    <t>12-19 10:00：修正状态（原误填 “验收通过”，实际未验收），更新为 “待验收”</t>
  </si>
  <si>
    <t>2. 改回正确状态，注明错误原因</t>
  </si>
  <si>
    <t>交付物需新增 / 删除</t>
  </si>
  <si>
    <t>1. 新增：按类型顺延编码（如新增功能交付物为 D-F-009），补充所有字段；</t>
  </si>
  <si>
    <t>新增 D-F-009（工位信息修改功能），计划交付时间 2025-12-29</t>
  </si>
  <si>
    <t>2. 删除：不可直接删除行，需在 “交付状态” 标注 “已取消”，备注删除原因</t>
  </si>
  <si>
    <t>验收不通过，修复后如何更新</t>
  </si>
  <si>
    <t>1. 责任认领人修复后，在 “备注” 注明 “已修复：角色权限联动问题”；</t>
  </si>
  <si>
    <t>12-21 17:00：刘婷修复权限联动问题，状态更新为 “待验收”；12-22 10:00：张伟验收通过</t>
  </si>
  <si>
    <t>2. 维护人更新 “交付状态” 为 “待验收”，新增更新记录；</t>
  </si>
  <si>
    <t>3. 验收人重新验证，通过后更新为 “验收通过”</t>
  </si>
  <si>
    <t>多人同时修改同一字段导致冲突</t>
  </si>
  <si>
    <t>1. 维护人（李静）设置 “保护工作表”（仅责任认领人可编辑 “实际交付时间”“备注”，其他人仅可查看）；</t>
  </si>
  <si>
    <t>王强与陈明同时修改 “实际交付时间”，以 17:30 王强的更新为准，陈明的修改需重新确认</t>
  </si>
  <si>
    <t>2. 冲突后以 “最后更新时间” 为准，联系相关人确认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</si>
</sst>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39">
    <font>
      <sz val="11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3.5"/>
      <color rgb="FF000000"/>
      <name val="宋体"/>
      <charset val="134"/>
    </font>
    <font>
      <b/>
      <sz val="13.5"/>
      <color rgb="FF000000"/>
      <name val="Segoe UI"/>
      <charset val="134"/>
    </font>
    <font>
      <b/>
      <sz val="12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rgb="FF000000"/>
      <name val="宋体"/>
      <charset val="134"/>
    </font>
    <font>
      <sz val="24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8"/>
      <color rgb="FF000000"/>
      <name val="Consolas"/>
      <charset val="134"/>
    </font>
    <font>
      <b/>
      <sz val="12"/>
      <color rgb="FF000000"/>
      <name val="Segoe UI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0" fillId="5" borderId="16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2" fillId="0" borderId="0">
      <alignment vertical="center"/>
    </xf>
    <xf numFmtId="0" fontId="23" fillId="0" borderId="17">
      <alignment vertical="center"/>
    </xf>
    <xf numFmtId="0" fontId="24" fillId="0" borderId="17">
      <alignment vertical="center"/>
    </xf>
    <xf numFmtId="0" fontId="25" fillId="0" borderId="18">
      <alignment vertical="center"/>
    </xf>
    <xf numFmtId="0" fontId="25" fillId="0" borderId="0">
      <alignment vertical="center"/>
    </xf>
    <xf numFmtId="0" fontId="26" fillId="6" borderId="19">
      <alignment vertical="center"/>
    </xf>
    <xf numFmtId="0" fontId="27" fillId="2" borderId="20">
      <alignment vertical="center"/>
    </xf>
    <xf numFmtId="0" fontId="28" fillId="2" borderId="19">
      <alignment vertical="center"/>
    </xf>
    <xf numFmtId="0" fontId="29" fillId="7" borderId="21">
      <alignment vertical="center"/>
    </xf>
    <xf numFmtId="0" fontId="30" fillId="0" borderId="22">
      <alignment vertical="center"/>
    </xf>
    <xf numFmtId="0" fontId="31" fillId="0" borderId="23">
      <alignment vertical="center"/>
    </xf>
    <xf numFmtId="0" fontId="32" fillId="8" borderId="0">
      <alignment vertical="center"/>
    </xf>
    <xf numFmtId="0" fontId="33" fillId="9" borderId="0">
      <alignment vertical="center"/>
    </xf>
    <xf numFmtId="0" fontId="34" fillId="10" borderId="0">
      <alignment vertical="center"/>
    </xf>
    <xf numFmtId="0" fontId="35" fillId="11" borderId="0">
      <alignment vertical="center"/>
    </xf>
    <xf numFmtId="0" fontId="36" fillId="12" borderId="0">
      <alignment vertical="center"/>
    </xf>
    <xf numFmtId="0" fontId="36" fillId="13" borderId="0">
      <alignment vertical="center"/>
    </xf>
    <xf numFmtId="0" fontId="35" fillId="14" borderId="0">
      <alignment vertical="center"/>
    </xf>
    <xf numFmtId="0" fontId="35" fillId="15" borderId="0">
      <alignment vertical="center"/>
    </xf>
    <xf numFmtId="0" fontId="36" fillId="16" borderId="0">
      <alignment vertical="center"/>
    </xf>
    <xf numFmtId="0" fontId="36" fillId="17" borderId="0">
      <alignment vertical="center"/>
    </xf>
    <xf numFmtId="0" fontId="35" fillId="18" borderId="0">
      <alignment vertical="center"/>
    </xf>
    <xf numFmtId="0" fontId="35" fillId="19" borderId="0">
      <alignment vertical="center"/>
    </xf>
    <xf numFmtId="0" fontId="36" fillId="20" borderId="0">
      <alignment vertical="center"/>
    </xf>
    <xf numFmtId="0" fontId="36" fillId="21" borderId="0">
      <alignment vertical="center"/>
    </xf>
    <xf numFmtId="0" fontId="35" fillId="22" borderId="0">
      <alignment vertical="center"/>
    </xf>
    <xf numFmtId="0" fontId="35" fillId="23" borderId="0">
      <alignment vertical="center"/>
    </xf>
    <xf numFmtId="0" fontId="36" fillId="24" borderId="0">
      <alignment vertical="center"/>
    </xf>
    <xf numFmtId="0" fontId="36" fillId="25" borderId="0">
      <alignment vertical="center"/>
    </xf>
    <xf numFmtId="0" fontId="35" fillId="26" borderId="0">
      <alignment vertical="center"/>
    </xf>
    <xf numFmtId="0" fontId="35" fillId="27" borderId="0">
      <alignment vertical="center"/>
    </xf>
    <xf numFmtId="0" fontId="36" fillId="28" borderId="0">
      <alignment vertical="center"/>
    </xf>
    <xf numFmtId="0" fontId="36" fillId="29" borderId="0">
      <alignment vertical="center"/>
    </xf>
    <xf numFmtId="0" fontId="35" fillId="30" borderId="0">
      <alignment vertical="center"/>
    </xf>
    <xf numFmtId="0" fontId="35" fillId="31" borderId="0">
      <alignment vertical="center"/>
    </xf>
    <xf numFmtId="0" fontId="36" fillId="32" borderId="0">
      <alignment vertical="center"/>
    </xf>
    <xf numFmtId="0" fontId="36" fillId="33" borderId="0">
      <alignment vertical="center"/>
    </xf>
    <xf numFmtId="0" fontId="35" fillId="34" borderId="0">
      <alignment vertical="center"/>
    </xf>
  </cellStyleXfs>
  <cellXfs count="7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31" fontId="0" fillId="0" borderId="0" xfId="0" applyNumberForma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left" vertical="center" wrapText="1"/>
    </xf>
    <xf numFmtId="0" fontId="4" fillId="3" borderId="7" xfId="0" applyFont="1" applyFill="1" applyBorder="1" applyAlignment="1">
      <alignment vertical="center" wrapText="1"/>
    </xf>
    <xf numFmtId="0" fontId="4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vertical="center" wrapText="1"/>
    </xf>
    <xf numFmtId="14" fontId="4" fillId="3" borderId="5" xfId="0" applyNumberFormat="1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0" fontId="2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7" xfId="0" applyFont="1" applyBorder="1" applyAlignment="1">
      <alignment vertical="center" wrapText="1"/>
    </xf>
    <xf numFmtId="0" fontId="6" fillId="0" borderId="8" xfId="0" applyFont="1" applyBorder="1" applyAlignment="1">
      <alignment vertical="center" wrapText="1"/>
    </xf>
    <xf numFmtId="0" fontId="6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center" vertical="center" wrapText="1"/>
    </xf>
    <xf numFmtId="10" fontId="6" fillId="0" borderId="5" xfId="0" applyNumberFormat="1" applyFont="1" applyBorder="1" applyAlignment="1">
      <alignment horizontal="left" vertic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7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left" vertical="center" wrapText="1"/>
    </xf>
    <xf numFmtId="9" fontId="6" fillId="0" borderId="5" xfId="0" applyNumberFormat="1" applyFont="1" applyBorder="1" applyAlignment="1">
      <alignment horizontal="center" vertical="center" wrapText="1"/>
    </xf>
    <xf numFmtId="0" fontId="9" fillId="0" borderId="5" xfId="0" applyFont="1" applyBorder="1" applyAlignment="1">
      <alignment vertical="center" wrapText="1"/>
    </xf>
    <xf numFmtId="0" fontId="9" fillId="0" borderId="5" xfId="0" applyFont="1" applyBorder="1" applyAlignment="1">
      <alignment horizontal="center" vertical="center" wrapText="1"/>
    </xf>
    <xf numFmtId="9" fontId="10" fillId="0" borderId="5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10" fontId="9" fillId="0" borderId="5" xfId="0" applyNumberFormat="1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2" fillId="3" borderId="5" xfId="0" applyFont="1" applyFill="1" applyBorder="1" applyAlignment="1">
      <alignment vertical="center" wrapText="1"/>
    </xf>
    <xf numFmtId="176" fontId="4" fillId="3" borderId="5" xfId="0" applyNumberFormat="1" applyFont="1" applyFill="1" applyBorder="1" applyAlignment="1">
      <alignment vertical="center" wrapText="1"/>
    </xf>
    <xf numFmtId="0" fontId="13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center" vertical="center" wrapText="1"/>
    </xf>
    <xf numFmtId="0" fontId="15" fillId="3" borderId="5" xfId="0" applyFont="1" applyFill="1" applyBorder="1" applyAlignment="1">
      <alignment horizontal="center" vertical="center" wrapText="1"/>
    </xf>
    <xf numFmtId="31" fontId="15" fillId="3" borderId="5" xfId="0" applyNumberFormat="1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9F43"/>
      <color rgb="0036CFC9"/>
      <color rgb="0027AE6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microsoft.com/office/2011/relationships/chartColorStyle" Target="colors2.xml"/><Relationship Id="rId2" Type="http://schemas.microsoft.com/office/2011/relationships/chartStyle" Target="style2.xml"/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3" Type="http://schemas.microsoft.com/office/2011/relationships/chartColorStyle" Target="colors3.xml"/><Relationship Id="rId2" Type="http://schemas.microsoft.com/office/2011/relationships/chartStyle" Target="style3.xml"/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按交付类型统计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交付状态统计!$C$31</c:f>
              <c:strCache>
                <c:ptCount val="1"/>
                <c:pt idx="0">
                  <c:v>总项数（项）</c:v>
                </c:pt>
              </c:strCache>
            </c:strRef>
          </c:tx>
          <c:spPr>
            <a:gradFill>
              <a:gsLst>
                <a:gs pos="89000">
                  <a:schemeClr val="accent1">
                    <a:lumMod val="90000"/>
                    <a:lumOff val="10000"/>
                  </a:schemeClr>
                </a:gs>
                <a:gs pos="50000">
                  <a:schemeClr val="accent1"/>
                </a:gs>
                <a:gs pos="100000">
                  <a:schemeClr val="accent1">
                    <a:lumMod val="80000"/>
                    <a:lumOff val="20000"/>
                  </a:schemeClr>
                </a:gs>
                <a:gs pos="56000">
                  <a:schemeClr val="accent1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9525">
              <a:solidFill>
                <a:schemeClr val="accent1"/>
              </a:solidFill>
            </a:ln>
            <a:effectLst>
              <a:innerShdw blurRad="114300">
                <a:schemeClr val="accent1">
                  <a:lumMod val="20000"/>
                  <a:lumOff val="80000"/>
                </a:schemeClr>
              </a:innerShdw>
            </a:effectLst>
            <a:sp3d contourW="9525"/>
          </c:spPr>
          <c:invertIfNegative val="0"/>
          <c:dLbls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交付状态统计!$B$32:$B$35</c:f>
              <c:strCache>
                <c:ptCount val="4"/>
                <c:pt idx="0">
                  <c:v>功能交付物</c:v>
                </c:pt>
                <c:pt idx="1">
                  <c:v>文档交付物</c:v>
                </c:pt>
                <c:pt idx="2">
                  <c:v>代码交付物</c:v>
                </c:pt>
                <c:pt idx="3">
                  <c:v>配置交付物</c:v>
                </c:pt>
              </c:strCache>
            </c:strRef>
          </c:cat>
          <c:val>
            <c:numRef>
              <c:f>交付状态统计!$C$32:$C$35</c:f>
              <c:numCache>
                <c:formatCode>General</c:formatCode>
                <c:ptCount val="4"/>
                <c:pt idx="0">
                  <c:v>48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ser>
          <c:idx val="1"/>
          <c:order val="1"/>
          <c:tx>
            <c:strRef>
              <c:f>交付状态统计!$D$31</c:f>
              <c:strCache>
                <c:ptCount val="1"/>
                <c:pt idx="0">
                  <c:v>验收通过项数（项）</c:v>
                </c:pt>
              </c:strCache>
            </c:strRef>
          </c:tx>
          <c:spPr>
            <a:gradFill>
              <a:gsLst>
                <a:gs pos="89000">
                  <a:schemeClr val="accent2">
                    <a:lumMod val="90000"/>
                    <a:lumOff val="10000"/>
                  </a:schemeClr>
                </a:gs>
                <a:gs pos="50000">
                  <a:schemeClr val="accent2"/>
                </a:gs>
                <a:gs pos="100000">
                  <a:schemeClr val="accent2">
                    <a:lumMod val="80000"/>
                    <a:lumOff val="20000"/>
                  </a:schemeClr>
                </a:gs>
                <a:gs pos="56000">
                  <a:schemeClr val="accent2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12700">
              <a:solidFill>
                <a:schemeClr val="accent2"/>
              </a:solidFill>
            </a:ln>
            <a:effectLst>
              <a:innerShdw blurRad="114300">
                <a:schemeClr val="accent2">
                  <a:lumMod val="20000"/>
                  <a:lumOff val="8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交付状态统计!$B$32:$B$35</c:f>
              <c:strCache>
                <c:ptCount val="4"/>
                <c:pt idx="0">
                  <c:v>功能交付物</c:v>
                </c:pt>
                <c:pt idx="1">
                  <c:v>文档交付物</c:v>
                </c:pt>
                <c:pt idx="2">
                  <c:v>代码交付物</c:v>
                </c:pt>
                <c:pt idx="3">
                  <c:v>配置交付物</c:v>
                </c:pt>
              </c:strCache>
            </c:strRef>
          </c:cat>
          <c:val>
            <c:numRef>
              <c:f>交付状态统计!$D$32:$D$35</c:f>
              <c:numCache>
                <c:formatCode>General</c:formatCode>
                <c:ptCount val="4"/>
                <c:pt idx="0">
                  <c:v>48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ser>
          <c:idx val="2"/>
          <c:order val="2"/>
          <c:tx>
            <c:strRef>
              <c:f>交付状态统计!$E$31</c:f>
              <c:strCache>
                <c:ptCount val="1"/>
                <c:pt idx="0">
                  <c:v>完成率</c:v>
                </c:pt>
              </c:strCache>
            </c:strRef>
          </c:tx>
          <c:spPr>
            <a:gradFill>
              <a:gsLst>
                <a:gs pos="89000">
                  <a:schemeClr val="accent3">
                    <a:lumMod val="90000"/>
                    <a:lumOff val="10000"/>
                  </a:schemeClr>
                </a:gs>
                <a:gs pos="50000">
                  <a:schemeClr val="accent3"/>
                </a:gs>
                <a:gs pos="100000">
                  <a:schemeClr val="accent3">
                    <a:lumMod val="80000"/>
                    <a:lumOff val="20000"/>
                  </a:schemeClr>
                </a:gs>
                <a:gs pos="56000">
                  <a:schemeClr val="accent3">
                    <a:lumMod val="75000"/>
                  </a:schemeClr>
                </a:gs>
                <a:gs pos="0">
                  <a:schemeClr val="accent3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3"/>
              </a:solidFill>
            </a:ln>
            <a:effectLst>
              <a:innerShdw blurRad="114300">
                <a:schemeClr val="accent3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 forceAA="0"/>
                <a:lstStyle/>
                <a:p>
                  <a:pPr>
                    <a:defRPr lang="zh-CN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微软雅黑" panose="020B0503020204020204" charset="-122"/>
                      <a:ea typeface="微软雅黑" panose="020B0503020204020204" charset="-122"/>
                      <a:cs typeface="微软雅黑" panose="020B0503020204020204" charset="-122"/>
                      <a:sym typeface="微软雅黑" panose="020B0503020204020204" charset="-122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交付状态统计!$B$32:$B$35</c:f>
              <c:strCache>
                <c:ptCount val="4"/>
                <c:pt idx="0">
                  <c:v>功能交付物</c:v>
                </c:pt>
                <c:pt idx="1">
                  <c:v>文档交付物</c:v>
                </c:pt>
                <c:pt idx="2">
                  <c:v>代码交付物</c:v>
                </c:pt>
                <c:pt idx="3">
                  <c:v>配置交付物</c:v>
                </c:pt>
              </c:strCache>
            </c:strRef>
          </c:cat>
          <c:val>
            <c:numRef>
              <c:f>交付状态统计!$E$32:$E$35</c:f>
              <c:numCache>
                <c:formatCode>0%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701644095"/>
        <c:axId val="848354050"/>
      </c:barChart>
      <c:catAx>
        <c:axId val="701644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848354050"/>
        <c:crosses val="autoZero"/>
        <c:auto val="1"/>
        <c:lblAlgn val="ctr"/>
        <c:lblOffset val="100"/>
        <c:noMultiLvlLbl val="0"/>
      </c:catAx>
      <c:valAx>
        <c:axId val="8483540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70164409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46def1-0c42-406d-aead-e7a76cae0b52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按周度交付统计</a:t>
            </a:r>
          </a:p>
        </c:rich>
      </c:tx>
      <c:layout>
        <c:manualLayout>
          <c:xMode val="edge"/>
          <c:yMode val="edge"/>
          <c:x val="0.459907834101382"/>
          <c:y val="0.0196078431372549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841935483870968"/>
          <c:y val="0.215736914600551"/>
          <c:w val="0.889078341013825"/>
          <c:h val="0.35285812672176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交付状态统计!$C$40</c:f>
              <c:strCache>
                <c:ptCount val="1"/>
                <c:pt idx="0">
                  <c:v>计划交付项数（项）</c:v>
                </c:pt>
              </c:strCache>
            </c:strRef>
          </c:tx>
          <c:spPr>
            <a:gradFill>
              <a:gsLst>
                <a:gs pos="89000">
                  <a:schemeClr val="accent2">
                    <a:lumMod val="90000"/>
                    <a:lumOff val="10000"/>
                  </a:schemeClr>
                </a:gs>
                <a:gs pos="50000">
                  <a:schemeClr val="accent2"/>
                </a:gs>
                <a:gs pos="100000">
                  <a:schemeClr val="accent2">
                    <a:lumMod val="80000"/>
                    <a:lumOff val="20000"/>
                  </a:schemeClr>
                </a:gs>
                <a:gs pos="56000">
                  <a:schemeClr val="accent2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12700">
              <a:solidFill>
                <a:schemeClr val="accent2"/>
              </a:solidFill>
            </a:ln>
            <a:effectLst>
              <a:innerShdw blurRad="114300">
                <a:schemeClr val="accent2">
                  <a:lumMod val="20000"/>
                  <a:lumOff val="8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交付状态统计!$B$41:$B$49</c15:sqref>
                  </c15:fullRef>
                </c:ext>
              </c:extLst>
              <c:f>(交付状态统计!$B$41,交付状态统计!$B$44,交付状态统计!$B$47)</c:f>
              <c:strCache>
                <c:ptCount val="3"/>
                <c:pt idx="0">
                  <c:v>第一周（2026.1.6-1.12）</c:v>
                </c:pt>
                <c:pt idx="1">
                  <c:v>第二周（2026.1.13-1.19）</c:v>
                </c:pt>
                <c:pt idx="2">
                  <c:v>第三周（2026.1.20-2026.1.26）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交付状态统计!$C$41:$C$49</c15:sqref>
                  </c15:fullRef>
                </c:ext>
              </c:extLst>
              <c:f>(交付状态统计!$C$41,交付状态统计!$C$44,交付状态统计!$C$47)</c:f>
              <c:numCache>
                <c:formatCode>General</c:formatCode>
                <c:ptCount val="3"/>
                <c:pt idx="0">
                  <c:v>6</c:v>
                </c:pt>
                <c:pt idx="1">
                  <c:v>25</c:v>
                </c:pt>
                <c:pt idx="2">
                  <c:v>21</c:v>
                </c:pt>
              </c:numCache>
            </c:numRef>
          </c:val>
        </c:ser>
        <c:ser>
          <c:idx val="2"/>
          <c:order val="1"/>
          <c:tx>
            <c:strRef>
              <c:f>交付状态统计!$D$40</c:f>
              <c:strCache>
                <c:ptCount val="1"/>
                <c:pt idx="0">
                  <c:v>实际完成项数（项）</c:v>
                </c:pt>
              </c:strCache>
            </c:strRef>
          </c:tx>
          <c:spPr>
            <a:gradFill>
              <a:gsLst>
                <a:gs pos="89000">
                  <a:schemeClr val="accent3">
                    <a:lumMod val="90000"/>
                    <a:lumOff val="10000"/>
                  </a:schemeClr>
                </a:gs>
                <a:gs pos="50000">
                  <a:schemeClr val="accent3"/>
                </a:gs>
                <a:gs pos="100000">
                  <a:schemeClr val="accent3">
                    <a:lumMod val="80000"/>
                    <a:lumOff val="20000"/>
                  </a:schemeClr>
                </a:gs>
                <a:gs pos="56000">
                  <a:schemeClr val="accent3">
                    <a:lumMod val="75000"/>
                  </a:schemeClr>
                </a:gs>
                <a:gs pos="0">
                  <a:schemeClr val="accent3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3"/>
              </a:solidFill>
            </a:ln>
            <a:effectLst>
              <a:innerShdw blurRad="114300">
                <a:schemeClr val="accent3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交付状态统计!$B$41:$B$49</c15:sqref>
                  </c15:fullRef>
                </c:ext>
              </c:extLst>
              <c:f>(交付状态统计!$B$41,交付状态统计!$B$44,交付状态统计!$B$47)</c:f>
              <c:strCache>
                <c:ptCount val="3"/>
                <c:pt idx="0">
                  <c:v>第一周（2026.1.6-1.12）</c:v>
                </c:pt>
                <c:pt idx="1">
                  <c:v>第二周（2026.1.13-1.19）</c:v>
                </c:pt>
                <c:pt idx="2">
                  <c:v>第三周（2026.1.20-2026.1.26）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交付状态统计!$D$41:$D$49</c15:sqref>
                  </c15:fullRef>
                </c:ext>
              </c:extLst>
              <c:f>(交付状态统计!$D$41,交付状态统计!$D$44,交付状态统计!$D$47)</c:f>
              <c:numCache>
                <c:formatCode>General</c:formatCode>
                <c:ptCount val="3"/>
                <c:pt idx="0">
                  <c:v>6</c:v>
                </c:pt>
                <c:pt idx="1">
                  <c:v>25</c:v>
                </c:pt>
                <c:pt idx="2">
                  <c:v>21</c:v>
                </c:pt>
              </c:numCache>
            </c:numRef>
          </c:val>
        </c:ser>
        <c:ser>
          <c:idx val="3"/>
          <c:order val="2"/>
          <c:tx>
            <c:strRef>
              <c:f>交付状态统计!$E$40</c:f>
              <c:strCache>
                <c:ptCount val="1"/>
                <c:pt idx="0">
                  <c:v>完成率</c:v>
                </c:pt>
              </c:strCache>
            </c:strRef>
          </c:tx>
          <c:spPr>
            <a:gradFill>
              <a:gsLst>
                <a:gs pos="89000">
                  <a:schemeClr val="accent4">
                    <a:lumMod val="90000"/>
                    <a:lumOff val="10000"/>
                  </a:schemeClr>
                </a:gs>
                <a:gs pos="50000">
                  <a:schemeClr val="accent4"/>
                </a:gs>
                <a:gs pos="100000">
                  <a:schemeClr val="accent4">
                    <a:lumMod val="80000"/>
                    <a:lumOff val="20000"/>
                  </a:schemeClr>
                </a:gs>
                <a:gs pos="56000">
                  <a:schemeClr val="accent4">
                    <a:lumMod val="75000"/>
                  </a:schemeClr>
                </a:gs>
                <a:gs pos="0">
                  <a:schemeClr val="accent4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4"/>
              </a:solidFill>
            </a:ln>
            <a:effectLst>
              <a:innerShdw blurRad="114300">
                <a:schemeClr val="accent4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交付状态统计!$B$41:$B$49</c15:sqref>
                  </c15:fullRef>
                </c:ext>
              </c:extLst>
              <c:f>(交付状态统计!$B$41,交付状态统计!$B$44,交付状态统计!$B$47)</c:f>
              <c:strCache>
                <c:ptCount val="3"/>
                <c:pt idx="0">
                  <c:v>第一周（2026.1.6-1.12）</c:v>
                </c:pt>
                <c:pt idx="1">
                  <c:v>第二周（2026.1.13-1.19）</c:v>
                </c:pt>
                <c:pt idx="2">
                  <c:v>第三周（2026.1.20-2026.1.26）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交付状态统计!$E$41:$E$49</c15:sqref>
                  </c15:fullRef>
                </c:ext>
              </c:extLst>
              <c:f>(交付状态统计!$E$41,交付状态统计!$E$44,交付状态统计!$E$47)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495208654"/>
        <c:axId val="64352450"/>
      </c:barChart>
      <c:catAx>
        <c:axId val="4952086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4352450"/>
        <c:crosses val="autoZero"/>
        <c:auto val="1"/>
        <c:lblAlgn val="ctr"/>
        <c:lblOffset val="100"/>
        <c:noMultiLvlLbl val="0"/>
      </c:catAx>
      <c:valAx>
        <c:axId val="6435245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49520865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270eceb-6246-4ab3-aef5-683fbe94b848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/>
              <a:t>按模块交付统计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交付状态统计!$E$19</c:f>
              <c:strCache>
                <c:ptCount val="1"/>
                <c:pt idx="0">
                  <c:v>完成率</c:v>
                </c:pt>
              </c:strCache>
            </c:strRef>
          </c:tx>
          <c:spPr>
            <a:gradFill>
              <a:gsLst>
                <a:gs pos="89000">
                  <a:schemeClr val="accent1">
                    <a:lumMod val="90000"/>
                    <a:lumOff val="10000"/>
                  </a:schemeClr>
                </a:gs>
                <a:gs pos="50000">
                  <a:schemeClr val="accent1"/>
                </a:gs>
                <a:gs pos="100000">
                  <a:schemeClr val="accent1">
                    <a:lumMod val="80000"/>
                    <a:lumOff val="20000"/>
                  </a:schemeClr>
                </a:gs>
                <a:gs pos="56000">
                  <a:schemeClr val="accent1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9525">
              <a:solidFill>
                <a:schemeClr val="accent1"/>
              </a:solidFill>
            </a:ln>
            <a:effectLst>
              <a:innerShdw blurRad="114300">
                <a:schemeClr val="accent1">
                  <a:lumMod val="20000"/>
                  <a:lumOff val="80000"/>
                </a:schemeClr>
              </a:innerShdw>
            </a:effectLst>
            <a:sp3d contourW="9525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交付状态统计!$B$21:$B$26</c:f>
              <c:strCache>
                <c:ptCount val="6"/>
                <c:pt idx="0">
                  <c:v>设备管理（EQ）</c:v>
                </c:pt>
                <c:pt idx="1">
                  <c:v>仓库管理（WH）</c:v>
                </c:pt>
                <c:pt idx="2">
                  <c:v>基础数据（BD）</c:v>
                </c:pt>
                <c:pt idx="3">
                  <c:v>销售管理（SL）</c:v>
                </c:pt>
                <c:pt idx="4">
                  <c:v>采购管理（PO）</c:v>
                </c:pt>
                <c:pt idx="5">
                  <c:v>全模块</c:v>
                </c:pt>
              </c:strCache>
            </c:strRef>
          </c:cat>
          <c:val>
            <c:numRef>
              <c:f>交付状态统计!$E$21:$E$26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ser>
          <c:idx val="1"/>
          <c:order val="1"/>
          <c:tx>
            <c:strRef>
              <c:f>交付状态统计!$C$19</c:f>
              <c:strCache>
                <c:ptCount val="1"/>
                <c:pt idx="0">
                  <c:v>交付物总项数（项）</c:v>
                </c:pt>
              </c:strCache>
            </c:strRef>
          </c:tx>
          <c:spPr>
            <a:gradFill>
              <a:gsLst>
                <a:gs pos="89000">
                  <a:schemeClr val="accent2">
                    <a:lumMod val="90000"/>
                    <a:lumOff val="10000"/>
                  </a:schemeClr>
                </a:gs>
                <a:gs pos="50000">
                  <a:schemeClr val="accent2"/>
                </a:gs>
                <a:gs pos="100000">
                  <a:schemeClr val="accent2">
                    <a:lumMod val="80000"/>
                    <a:lumOff val="20000"/>
                  </a:schemeClr>
                </a:gs>
                <a:gs pos="56000">
                  <a:schemeClr val="accent2">
                    <a:lumMod val="75000"/>
                  </a:schemeClr>
                </a:gs>
                <a:gs pos="4000">
                  <a:schemeClr val="bg1"/>
                </a:gs>
              </a:gsLst>
              <a:lin ang="0" scaled="0"/>
            </a:gradFill>
            <a:ln w="12700">
              <a:solidFill>
                <a:schemeClr val="accent2"/>
              </a:solidFill>
            </a:ln>
            <a:effectLst>
              <a:innerShdw blurRad="114300">
                <a:schemeClr val="accent2">
                  <a:lumMod val="20000"/>
                  <a:lumOff val="8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交付状态统计!$B$21:$B$26</c:f>
              <c:strCache>
                <c:ptCount val="6"/>
                <c:pt idx="0">
                  <c:v>设备管理（EQ）</c:v>
                </c:pt>
                <c:pt idx="1">
                  <c:v>仓库管理（WH）</c:v>
                </c:pt>
                <c:pt idx="2">
                  <c:v>基础数据（BD）</c:v>
                </c:pt>
                <c:pt idx="3">
                  <c:v>销售管理（SL）</c:v>
                </c:pt>
                <c:pt idx="4">
                  <c:v>采购管理（PO）</c:v>
                </c:pt>
                <c:pt idx="5">
                  <c:v>全模块</c:v>
                </c:pt>
              </c:strCache>
            </c:strRef>
          </c:cat>
          <c:val>
            <c:numRef>
              <c:f>交付状态统计!$C$21:$C$26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4</c:v>
                </c:pt>
              </c:numCache>
            </c:numRef>
          </c:val>
        </c:ser>
        <c:ser>
          <c:idx val="2"/>
          <c:order val="2"/>
          <c:tx>
            <c:strRef>
              <c:f>交付状态统计!$D$19</c:f>
              <c:strCache>
                <c:ptCount val="1"/>
                <c:pt idx="0">
                  <c:v>验收通过项数（项）</c:v>
                </c:pt>
              </c:strCache>
            </c:strRef>
          </c:tx>
          <c:spPr>
            <a:gradFill>
              <a:gsLst>
                <a:gs pos="89000">
                  <a:schemeClr val="accent3">
                    <a:lumMod val="90000"/>
                    <a:lumOff val="10000"/>
                  </a:schemeClr>
                </a:gs>
                <a:gs pos="50000">
                  <a:schemeClr val="accent3"/>
                </a:gs>
                <a:gs pos="100000">
                  <a:schemeClr val="accent3">
                    <a:lumMod val="80000"/>
                    <a:lumOff val="20000"/>
                  </a:schemeClr>
                </a:gs>
                <a:gs pos="56000">
                  <a:schemeClr val="accent3">
                    <a:lumMod val="75000"/>
                  </a:schemeClr>
                </a:gs>
                <a:gs pos="0">
                  <a:schemeClr val="accent3">
                    <a:lumMod val="20000"/>
                    <a:lumOff val="80000"/>
                  </a:schemeClr>
                </a:gs>
              </a:gsLst>
              <a:lin ang="0" scaled="0"/>
            </a:gradFill>
            <a:ln w="12700">
              <a:solidFill>
                <a:schemeClr val="accent3"/>
              </a:solidFill>
            </a:ln>
            <a:effectLst>
              <a:innerShdw blurRad="114300">
                <a:schemeClr val="accent3">
                  <a:lumMod val="20000"/>
                  <a:lumOff val="80000"/>
                  <a:alpha val="100000"/>
                </a:schemeClr>
              </a:innerShdw>
            </a:effectLst>
            <a:sp3d contourW="12700"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交付状态统计!$B$21:$B$26</c:f>
              <c:strCache>
                <c:ptCount val="6"/>
                <c:pt idx="0">
                  <c:v>设备管理（EQ）</c:v>
                </c:pt>
                <c:pt idx="1">
                  <c:v>仓库管理（WH）</c:v>
                </c:pt>
                <c:pt idx="2">
                  <c:v>基础数据（BD）</c:v>
                </c:pt>
                <c:pt idx="3">
                  <c:v>销售管理（SL）</c:v>
                </c:pt>
                <c:pt idx="4">
                  <c:v>采购管理（PO）</c:v>
                </c:pt>
                <c:pt idx="5">
                  <c:v>全模块</c:v>
                </c:pt>
              </c:strCache>
            </c:strRef>
          </c:cat>
          <c:val>
            <c:numRef>
              <c:f>交付状态统计!$D$21:$D$26</c:f>
              <c:numCache>
                <c:formatCode>General</c:formatCode>
                <c:ptCount val="6"/>
                <c:pt idx="0">
                  <c:v>8</c:v>
                </c:pt>
                <c:pt idx="1">
                  <c:v>6</c:v>
                </c:pt>
                <c:pt idx="2">
                  <c:v>12</c:v>
                </c:pt>
                <c:pt idx="3">
                  <c:v>10</c:v>
                </c:pt>
                <c:pt idx="4">
                  <c:v>10</c:v>
                </c:pt>
                <c:pt idx="5">
                  <c:v>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0"/>
        <c:axId val="667908260"/>
        <c:axId val="14882341"/>
      </c:barChart>
      <c:catAx>
        <c:axId val="667908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50000"/>
                <a:lumOff val="50000"/>
                <a:alpha val="2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14882341"/>
        <c:crosses val="autoZero"/>
        <c:auto val="1"/>
        <c:lblAlgn val="ctr"/>
        <c:lblOffset val="100"/>
        <c:noMultiLvlLbl val="0"/>
      </c:catAx>
      <c:valAx>
        <c:axId val="14882341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6790826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2923bfc-323d-42b3-9cf0-8e19804fd879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png"/><Relationship Id="rId4" Type="http://www.wps.cn/officeDocument/2018/webExtension" Target="../webExtensions/webExtension1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340360</xdr:colOff>
      <xdr:row>29</xdr:row>
      <xdr:rowOff>281940</xdr:rowOff>
    </xdr:from>
    <xdr:to>
      <xdr:col>16</xdr:col>
      <xdr:colOff>205105</xdr:colOff>
      <xdr:row>36</xdr:row>
      <xdr:rowOff>29845</xdr:rowOff>
    </xdr:to>
    <xdr:graphicFrame>
      <xdr:nvGraphicFramePr>
        <xdr:cNvPr id="4" name="图表 3" descr="7b0a202020202263686172745265734964223a20223230343736363939220a7d0a"/>
        <xdr:cNvGraphicFramePr/>
      </xdr:nvGraphicFramePr>
      <xdr:xfrm>
        <a:off x="9796780" y="7439660"/>
        <a:ext cx="5351145" cy="1957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256540</xdr:colOff>
      <xdr:row>39</xdr:row>
      <xdr:rowOff>35560</xdr:rowOff>
    </xdr:from>
    <xdr:to>
      <xdr:col>16</xdr:col>
      <xdr:colOff>281940</xdr:colOff>
      <xdr:row>48</xdr:row>
      <xdr:rowOff>355600</xdr:rowOff>
    </xdr:to>
    <xdr:graphicFrame>
      <xdr:nvGraphicFramePr>
        <xdr:cNvPr id="6" name="图表 5" descr="7b0a202020202263686172745265734964223a20223230343736363939220a7d0a"/>
        <xdr:cNvGraphicFramePr/>
      </xdr:nvGraphicFramePr>
      <xdr:xfrm>
        <a:off x="9712960" y="10530840"/>
        <a:ext cx="5511800" cy="22936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325120</xdr:colOff>
      <xdr:row>16</xdr:row>
      <xdr:rowOff>48260</xdr:rowOff>
    </xdr:from>
    <xdr:to>
      <xdr:col>15</xdr:col>
      <xdr:colOff>274320</xdr:colOff>
      <xdr:row>26</xdr:row>
      <xdr:rowOff>185420</xdr:rowOff>
    </xdr:to>
    <xdr:graphicFrame>
      <xdr:nvGraphicFramePr>
        <xdr:cNvPr id="8" name="图表 7" descr="7b0a202020202263686172745265734964223a20223230343736363939220a7d0a"/>
        <xdr:cNvGraphicFramePr/>
      </xdr:nvGraphicFramePr>
      <xdr:xfrm>
        <a:off x="9781540" y="3975100"/>
        <a:ext cx="4826000" cy="2804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314960</xdr:colOff>
      <xdr:row>0</xdr:row>
      <xdr:rowOff>154305</xdr:rowOff>
    </xdr:from>
    <xdr:to>
      <xdr:col>15</xdr:col>
      <xdr:colOff>290830</xdr:colOff>
      <xdr:row>12</xdr:row>
      <xdr:rowOff>97790</xdr:rowOff>
    </xdr:to>
    <xdr:pic>
      <xdr:nvPicPr>
        <xdr:cNvPr id="9" name="图表 9"/>
        <xdr:cNvPicPr/>
      </xdr:nvPicPr>
      <xdr:blipFill>
        <a:blip r:embed="rId5"/>
        <a:stretch>
          <a:fillRect/>
        </a:stretch>
      </xdr:blipFill>
      <xdr:spPr>
        <a:xfrm>
          <a:off x="9771380" y="154305"/>
          <a:ext cx="4852670" cy="3138805"/>
        </a:xfrm>
        <a:prstGeom prst="rect">
          <a:avLst/>
        </a:prstGeom>
        <a:ln>
          <a:solidFill>
            <a:srgbClr val="D9D9D9"/>
          </a:solidFill>
        </a:ln>
        <a:extLst>
          <a:ext uri="{8CAD56D8-0F58-4FB8-B24C-77498146470C}">
            <wpswe:webExtensionRef xmlns:wpswe="http://www.wps.cn/officeDocument/2018/webExtension" r:id="rId4"/>
          </a:ext>
          <wpswe:webExtensionRef xmlns:wpswe="http://www.wps.cn/officeDocument/2018/webExtension" r:id="rId4"/>
        </a:extLst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自定义 1">
    <a:dk1>
      <a:srgbClr val="000000"/>
    </a:dk1>
    <a:lt1>
      <a:srgbClr val="FFFFFF"/>
    </a:lt1>
    <a:dk2>
      <a:srgbClr val="44546A"/>
    </a:dk2>
    <a:lt2>
      <a:srgbClr val="E7E6E6"/>
    </a:lt2>
    <a:accent1>
      <a:srgbClr val="4F80FF"/>
    </a:accent1>
    <a:accent2>
      <a:srgbClr val="16CC8A"/>
    </a:accent2>
    <a:accent3>
      <a:srgbClr val="FFC619"/>
    </a:accent3>
    <a:accent4>
      <a:srgbClr val="FF7F41"/>
    </a:accent4>
    <a:accent5>
      <a:srgbClr val="F95F5F"/>
    </a:accent5>
    <a:accent6>
      <a:srgbClr val="A15CFF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ebExtensions/_rels/webExtension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oleObject" Target="file:///C:\&#38738;&#36719;&#21019;&#26032;\&#35199;&#24037;&#22823;\&#36719;&#20214;&#31995;&#32479;&#24320;&#21457;&#32508;&#21512;&#33021;&#21147;&#35757;&#32451;&#35838;\&#20132;&#20184;&#26448;&#26009;&#65288;&#23436;&#25104;&#29256;&#65289;\&#23454;&#39564;&#20108;&#65306;&#36845;&#20195;1&#20914;&#21050;&#65288;&#20174;&#35268;&#21010;&#21040;&#22238;&#39038;&#30340;&#39318;&#27425;&#20215;&#20540;&#20132;&#20184;&#65289;\01-1.&#36845;&#20195;1&#20914;&#21050;&#24453;&#21150;&#21015;&#34920;&#36319;&#36394;&#34920;V1.1.0&#65288;&#30001;&#22312;&#32447;&#25991;&#26723;&#19979;&#36733;&#32780;&#26469;&#65289;&#65288;&#38656;&#26356;&#26032;&#65289;.xlsx" TargetMode="External"/></Relationships>
</file>

<file path=xl/webExtensions/webExtension1.xml><?xml version="1.0" encoding="utf-8"?>
<wpswe:webExtension xmlns:wpswe="http://www.wps.cn/officeDocument/2018/webExtension" xmlns:webet="https://web.wps.cn/et/2018/main" webet:type="DataSource" type="1" webet:id="">
  <wpswe:extSource id="webchart" version="3.0"/>
  <wpswe:properties>
    <wpswe:property key="demoData" value="{&quot;category&quot;:[&quot;第一季度&quot;,&quot;第二季度&quot;,&quot;第三季度&quot;,&quot;第四季度&quot;],&quot;data&quot;:[[&quot;&quot;,&quot;销售额&quot;],[&quot;第一季度&quot;,8.2],[&quot;第二季度&quot;,5.2],[&quot;第三季度&quot;,4.2],[&quot;第四季度&quot;,3.1]],&quot;series&quot;:[&quot;&quot;,&quot;销售额&quot;]}"/>
    <wpswe:property key="extStyle" value="{&quot;series&quot;:[{&quot;emphasis&quot;:{&quot;itemStyle&quot;:{&quot;shadowBlur&quot;:0,&quot;shadowColor&quot;:&quot;rgba(0, 0, 0, 0.5)&quot;,&quot;shadowOffsetX&quot;:0}},&quot;itemStyle&quot;:{&quot;borderColor&quot;:&quot;#ffffff&quot;,&quot;borderWidth&quot;:1.8},&quot;labelLayout&quot;:{&quot;hideOverlap&quot;:false},&quot;roseType&quot;:&quot;radius&quot;,&quot;type&quot;:&quot;pie&quot;}],&quot;tooltip&quot;:{&quot;backgroundColor&quot;:{&quot;rgb&quot;:&quot;rgba(51,51,51,0.7)&quot;,&quot;row&quot;:-1,&quot;themeIndex&quot;:-1,&quot;type&quot;:0},&quot;borderWidth&quot;:0,&quot;confine&quot;:true,&quot;extraCssText&quot;:&quot;max-width: calc(100vw - 36px); overflow: hidden; white-space: nowrap; text-overflow: ellipsis; margin-left: 8px;&quot;}}"/>
    <wpswe:property key="isUseCommonErrorPage" value="false"/>
    <wpswe:property key="loadingImage" value="res:/icons/WebChartLoading_et.svg"/>
    <wpswe:property key="renderer" value="echarts"/>
    <wpswe:property key="resId" value="40000082"/>
    <wpswe:property key="sourceTheme" value="{&quot;colors&quot;:[&quot;#000000&quot;,&quot;#ffffff&quot;,&quot;#44546a&quot;,&quot;#e7e6e6&quot;,&quot;#4874cb&quot;,&quot;#ee822f&quot;,&quot;#f2ba02&quot;,&quot;#75bd42&quot;,&quot;#30c0b4&quot;,&quot;#e54c5e&quot;,&quot;#0026e5&quot;,&quot;#7e1fad&quot;,&quot;#000000&quot;,&quot;#ffffff&quot;,&quot;#44546a&quot;,&quot;#e7e6e6&quot;],&quot;fonts&quot;:[&quot;Calibri Light&quot;,&quot;宋体&quot;,&quot;Calibri&quot;,&quot;宋体&quot;]}"/>
    <wpswe:property key="style" value="{&quot;animation&quot;:false,&quot;backgroundColor&quot;:{&quot;rgb&quot;:&quot;#FFFFFF&quot;,&quot;row&quot;:0,&quot;themeIndex&quot;:13,&quot;type&quot;:1},&quot;borderColor&quot;:{&quot;rgb&quot;:&quot;#D9D9D9&quot;,&quot;row&quot;:2,&quot;themeIndex&quot;:13,&quot;type&quot;:1},&quot;global&quot;:{&quot;text&quot;:{&quot;bold&quot;:0,&quot;font&quot;:{&quot;name&quot;:&quot;宋体&quot;,&quot;nameType&quot;:2,&quot;langType&quot;:3},&quot;fontSize&quot;:10,&quot;italic&quot;:0}},&quot;label&quot;:{&quot;formatter&quot;:[&quot;value&quot;],&quot;position&quot;:&quot;inner&quot;,&quot;show&quot;:false,&quot;textStyle&quot;:{&quot;color&quot;:{&quot;rgb&quot;:&quot;#404040&quot;,&quot;row&quot;:3,&quot;themeIndex&quot;:12,&quot;type&quot;:1},&quot;fontFamily&quot;:{&quot;name&quot;:&quot;宋体&quot;,&quot;themeIndex&quot;:3,&quot;type&quot;:1},&quot;fontSize&quot;:9,&quot;fontStyle&quot;:&quot;normal&quot;,&quot;fontWeight&quot;:&quot;normal&quot;}},&quot;legend&quot;:{&quot;position&quot;:&quot;bottomCenter&quot;,&quot;show&quot;:true,&quot;textStyle&quot;:{&quot;color&quot;:{&quot;rgb&quot;:&quot;#595959&quot;,&quot;row&quot;:2,&quot;themeIndex&quot;:12,&quot;type&quot;:1},&quot;fontFamily&quot;:{&quot;name&quot;:&quot;宋体&quot;,&quot;themeIndex&quot;:3,&quot;type&quot;:1},&quot;fontSize&quot;:9,&quot;fontStyle&quot;:&quot;normal&quot;,&quot;fontWeight&quot;:&quot;normal&quot;}},&quot;pieType&quot;:&quot;doughnut-rose&quot;,&quot;propWin&quot;:{&quot;hide&quot;:[&quot;axis&quot;]},&quot;radius&quot;:[&quot;20%&quot;,&quot;100%&quot;],&quot;selectedOffset&quot;:0,&quot;seriesThemeColor&quot;:[&quot;#906BE9&quot;,&quot;#06C0D5&quot;,&quot;#558BF7&quot;,&quot;#FFC800&quot;,&quot;#9ADB00&quot;,&quot;#32C267&quot;],&quot;startAngle&quot;:0,&quot;title&quot;:{&quot;position&quot;:&quot;topCenter&quot;,&quot;show&quot;:true,&quot;text&quot;:&quot;整体交付概览&quot;,&quot;textStyle&quot;:{&quot;color&quot;:{&quot;rgb&quot;:&quot;#404040&quot;,&quot;row&quot;:3,&quot;themeIndex&quot;:12,&quot;type&quot;:1},&quot;fontFamily&quot;:{&quot;name&quot;:&quot;宋体&quot;,&quot;themeIndex&quot;:3,&quot;type&quot;:1},&quot;fontSize&quot;:14,&quot;fontStyle&quot;:&quot;normal&quot;,&quot;fontWeight&quot;:&quot;bold&quot;}},&quot;tooltip&quot;:{&quot;show&quot;:true,&quot;textStyle&quot;:{&quot;color&quot;:{&quot;rgb&quot;:&quot;#FFFFFF&quot;,&quot;row&quot;:-1,&quot;themeIndex&quot;:-1,&quot;type&quot;:0},&quot;fontFamily&quot;:{&quot;name&quot;:&quot;宋体&quot;,&quot;themeIndex&quot;:3,&quot;type&quot;:1},&quot;fontSize&quot;:9,&quot;fontStyle&quot;:&quot;normal&quot;,&quot;fontWeight&quot;:&quot;normal&quot;}},&quot;animationLoop&quot;:false,&quot;animationDurationUpdate&quot;:1500,&quot;animationDuration&quot;:1500,&quot;divideType&quot;:&quot;portrait&quot;,&quot;seriesDir&quot;:&quot;row&quot;,&quot;orderSeriesData&quot;:[0,1,2,3,4],&quot;selectedSeriesData&quot;:[0,1,2,3],&quot;selectedCategoryData&quot;:[0],&quot;deletedSeriesData&quot;:[]}"/>
    <wpswe:property key="themeOverride" value="false"/>
    <wpswe:property key="type" value="2d-pie"/>
  </wpswe:properties>
  <wpswe:watchingCache>
    <wpswe:linkPath>C:\青软创新\西工大\软件系统开发综合能力训练课\交付材料（完成版）\实验二：迭代1冲刺（从规划到回顾的首次价值交付）\01-1.迭代1冲刺待办列表跟踪表V1.1.0（由在线文档下载而来）（需更新）.xlsx</wpswe:linkPath>
    <wpswe:dataRange>
      <wpswe:key>webchart</wpswe:key>
      <wpswe:context>交付状态统计!$B$5:$C$9</wpswe:context>
      <wpswe:count>5</wpswe:count>
      <wpswe:cells wpswe:idx="0">
        <wpswe:count>2</wpswe:count>
        <wpswe:formatCode>General</wpswe:formatCode>
        <wpswe:cell wpswe:idx="0">
          <wpswe:value>验收通过项数</wpswe:value>
        </wpswe:cell>
        <wpswe:cell wpswe:idx="1">
          <wpswe:value>52</wpswe:value>
        </wpswe:cell>
      </wpswe:cells>
      <wpswe:cells wpswe:idx="1">
        <wpswe:count>2</wpswe:count>
        <wpswe:formatCode>General</wpswe:formatCode>
        <wpswe:cell wpswe:idx="0">
          <wpswe:value>待验收项数</wpswe:value>
        </wpswe:cell>
        <wpswe:cell wpswe:idx="1">
          <wpswe:value>0</wpswe:value>
        </wpswe:cell>
      </wpswe:cells>
      <wpswe:cells wpswe:idx="2">
        <wpswe:count>2</wpswe:count>
        <wpswe:formatCode>General</wpswe:formatCode>
        <wpswe:cell wpswe:idx="0">
          <wpswe:value>开发中项数</wpswe:value>
        </wpswe:cell>
        <wpswe:cell wpswe:idx="1">
          <wpswe:value>0</wpswe:value>
        </wpswe:cell>
      </wpswe:cells>
      <wpswe:cells wpswe:idx="3">
        <wpswe:count>2</wpswe:count>
        <wpswe:formatCode>General</wpswe:formatCode>
        <wpswe:cell wpswe:idx="0">
          <wpswe:value>验收不通过项数</wpswe:value>
        </wpswe:cell>
        <wpswe:cell wpswe:idx="1">
          <wpswe:value>0</wpswe:value>
        </wpswe:cell>
      </wpswe:cells>
      <wpswe:cells wpswe:idx="4">
        <wpswe:count>2</wpswe:count>
        <wpswe:formatCode>General</wpswe:formatCode>
        <wpswe:cell wpswe:idx="0">
          <wpswe:value>延迟交付项数</wpswe:value>
        </wpswe:cell>
        <wpswe:cell wpswe:idx="1">
          <wpswe:value>0</wpswe:value>
        </wpswe:cell>
      </wpswe:cells>
    </wpswe:dataRange>
  </wpswe:watchingCache>
  <wpswe:snapshot xmlns:r="http://schemas.openxmlformats.org/officeDocument/2006/relationships" r:embed="rId2"/>
  <wpswe:externalData xmlns:r="http://schemas.openxmlformats.org/officeDocument/2006/relationships" r:id="rId1"/>
  <wpswe:url>https://clientweb.docer.wps.cn/web-chart/v1/web-shape.html#/home</wpswe:url>
  <wpswe:constantSnapshot>false</wpswe:constantSnapshot>
</wps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5"/>
  <sheetViews>
    <sheetView topLeftCell="A2" workbookViewId="0">
      <selection activeCell="D8" sqref="D8"/>
    </sheetView>
  </sheetViews>
  <sheetFormatPr defaultColWidth="9" defaultRowHeight="14.4"/>
  <cols>
    <col min="1" max="1" width="1.77777777777778" customWidth="1"/>
    <col min="2" max="2" width="14.3333333333333" customWidth="1"/>
    <col min="3" max="3" width="15.3333333333333" customWidth="1"/>
    <col min="4" max="5" width="12.3333333333333" customWidth="1"/>
    <col min="6" max="6" width="45.8888888888889" customWidth="1"/>
    <col min="7" max="7" width="26.5555555555556" customWidth="1"/>
    <col min="8" max="8" width="20.2222222222222" customWidth="1"/>
    <col min="9" max="9" width="11.5555555555556" customWidth="1"/>
    <col min="10" max="10" width="20.8888888888889" customWidth="1"/>
  </cols>
  <sheetData>
    <row r="1" ht="9" customHeight="1"/>
    <row r="2" ht="96" customHeight="1" spans="2:10">
      <c r="B2" s="64" t="s">
        <v>0</v>
      </c>
      <c r="C2" s="65"/>
      <c r="D2" s="65"/>
      <c r="E2" s="65"/>
      <c r="F2" s="65"/>
      <c r="G2" s="65"/>
      <c r="H2" s="65"/>
      <c r="I2" s="65"/>
      <c r="J2" s="65"/>
    </row>
    <row r="3" ht="66" customHeight="1" spans="2:10">
      <c r="B3" s="66" t="s">
        <v>1</v>
      </c>
      <c r="C3" s="65"/>
      <c r="D3" s="65"/>
      <c r="E3" s="65"/>
      <c r="F3" s="65"/>
      <c r="G3" s="65"/>
      <c r="H3" s="65"/>
      <c r="I3" s="65"/>
      <c r="J3" s="65"/>
    </row>
    <row r="4" ht="10" customHeight="1" spans="2:10">
      <c r="B4" s="65"/>
      <c r="C4" s="65"/>
      <c r="D4" s="65"/>
      <c r="E4" s="65"/>
      <c r="F4" s="65"/>
      <c r="G4" s="65"/>
      <c r="H4" s="65"/>
      <c r="I4" s="65"/>
      <c r="J4" s="65"/>
    </row>
    <row r="5" ht="39" customHeight="1" spans="2:10">
      <c r="B5" s="67" t="s">
        <v>2</v>
      </c>
      <c r="C5" s="67" t="s">
        <v>3</v>
      </c>
      <c r="D5" s="67" t="s">
        <v>4</v>
      </c>
      <c r="E5" s="67" t="s">
        <v>5</v>
      </c>
      <c r="F5" s="67" t="s">
        <v>6</v>
      </c>
      <c r="G5" s="67" t="s">
        <v>7</v>
      </c>
      <c r="H5" s="67" t="s">
        <v>8</v>
      </c>
      <c r="I5" s="67" t="s">
        <v>9</v>
      </c>
      <c r="J5" s="67" t="s">
        <v>10</v>
      </c>
    </row>
    <row r="6" ht="28" customHeight="1" spans="2:10">
      <c r="B6" s="68" t="s">
        <v>11</v>
      </c>
      <c r="C6" s="69">
        <v>46028</v>
      </c>
      <c r="D6" s="68" t="s">
        <v>12</v>
      </c>
      <c r="E6" s="68" t="s">
        <v>13</v>
      </c>
      <c r="F6" s="68" t="s">
        <v>14</v>
      </c>
      <c r="G6" s="68" t="s">
        <v>15</v>
      </c>
      <c r="H6" s="68" t="s">
        <v>16</v>
      </c>
      <c r="I6" s="68" t="s">
        <v>17</v>
      </c>
      <c r="J6" s="68" t="s">
        <v>18</v>
      </c>
    </row>
    <row r="7" ht="27" customHeight="1" spans="2:10">
      <c r="B7" s="70"/>
      <c r="C7" s="71"/>
      <c r="D7" s="16"/>
      <c r="E7" s="16"/>
      <c r="F7" s="16"/>
      <c r="G7" s="16"/>
      <c r="H7" s="16"/>
      <c r="I7" s="16"/>
      <c r="J7" s="16"/>
    </row>
    <row r="8" ht="27" customHeight="1" spans="2:10">
      <c r="B8" s="70"/>
      <c r="C8" s="71"/>
      <c r="D8" s="16"/>
      <c r="E8" s="16"/>
      <c r="F8" s="16"/>
      <c r="G8" s="16"/>
      <c r="H8" s="16"/>
      <c r="I8" s="16"/>
      <c r="J8" s="16"/>
    </row>
    <row r="9" ht="27" customHeight="1" spans="2:10">
      <c r="B9" s="70"/>
      <c r="C9" s="71"/>
      <c r="D9" s="16"/>
      <c r="E9" s="16"/>
      <c r="F9" s="16"/>
      <c r="G9" s="16"/>
      <c r="H9" s="16"/>
      <c r="I9" s="16"/>
      <c r="J9" s="16"/>
    </row>
    <row r="10" ht="27" customHeight="1" spans="2:10">
      <c r="B10" s="70"/>
      <c r="C10" s="71"/>
      <c r="D10" s="16"/>
      <c r="E10" s="16"/>
      <c r="F10" s="16"/>
      <c r="G10" s="16"/>
      <c r="H10" s="16"/>
      <c r="I10" s="16"/>
      <c r="J10" s="16"/>
    </row>
    <row r="11" ht="27" customHeight="1" spans="2:10">
      <c r="B11" s="70"/>
      <c r="C11" s="71"/>
      <c r="D11" s="16"/>
      <c r="E11" s="16"/>
      <c r="F11" s="16"/>
      <c r="G11" s="16"/>
      <c r="H11" s="16"/>
      <c r="I11" s="16"/>
      <c r="J11" s="16"/>
    </row>
    <row r="12" ht="27" customHeight="1" spans="2:10">
      <c r="B12" s="70"/>
      <c r="C12" s="71"/>
      <c r="D12" s="16"/>
      <c r="E12" s="16"/>
      <c r="F12" s="16"/>
      <c r="G12" s="16"/>
      <c r="H12" s="16"/>
      <c r="I12" s="16"/>
      <c r="J12" s="16"/>
    </row>
    <row r="13" ht="30" customHeight="1" spans="2:10">
      <c r="B13" s="70"/>
      <c r="C13" s="71"/>
      <c r="D13" s="16"/>
      <c r="E13" s="16"/>
      <c r="F13" s="16"/>
      <c r="G13" s="16"/>
      <c r="H13" s="16"/>
      <c r="I13" s="16"/>
      <c r="J13" s="16"/>
    </row>
    <row r="14" spans="2:10">
      <c r="B14" s="72" t="s">
        <v>19</v>
      </c>
      <c r="C14" s="73"/>
      <c r="D14" s="73"/>
      <c r="E14" s="73"/>
      <c r="F14" s="73"/>
      <c r="G14" s="73"/>
      <c r="H14" s="73"/>
      <c r="I14" s="73"/>
      <c r="J14" s="73"/>
    </row>
    <row r="15" spans="2:10">
      <c r="B15" s="73"/>
      <c r="C15" s="73"/>
      <c r="D15" s="73"/>
      <c r="E15" s="73"/>
      <c r="F15" s="73"/>
      <c r="G15" s="73"/>
      <c r="H15" s="73"/>
      <c r="I15" s="73"/>
      <c r="J15" s="73"/>
    </row>
  </sheetData>
  <mergeCells count="3">
    <mergeCell ref="B2:J2"/>
    <mergeCell ref="B3:J3"/>
    <mergeCell ref="B14:J1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3"/>
  <sheetViews>
    <sheetView workbookViewId="0">
      <selection activeCell="C2" sqref="C2"/>
    </sheetView>
  </sheetViews>
  <sheetFormatPr defaultColWidth="9" defaultRowHeight="14.4"/>
  <cols>
    <col min="1" max="1" width="12.5555555555556" customWidth="1"/>
    <col min="2" max="2" width="19.1111111111111" style="59" customWidth="1"/>
    <col min="3" max="3" width="26.4444444444444" customWidth="1"/>
    <col min="4" max="4" width="12.1111111111111" customWidth="1"/>
    <col min="5" max="5" width="15.2222222222222" customWidth="1"/>
    <col min="6" max="6" width="33.8888888888889" customWidth="1"/>
    <col min="7" max="7" width="19.7777777777778" customWidth="1"/>
    <col min="8" max="8" width="15.1111111111111" customWidth="1"/>
    <col min="9" max="9" width="12.4444444444444" customWidth="1"/>
    <col min="10" max="10" width="43.4444444444444" customWidth="1"/>
    <col min="11" max="11" width="24" customWidth="1"/>
    <col min="12" max="12" width="15.3333333333333" customWidth="1"/>
    <col min="13" max="13" width="19.1111111111111" customWidth="1"/>
    <col min="14" max="14" width="14.7777777777778" customWidth="1"/>
    <col min="15" max="15" width="14.5555555555556" customWidth="1"/>
    <col min="16" max="16" width="14.4444444444444" customWidth="1"/>
    <col min="17" max="17" width="12.7777777777778" style="59" customWidth="1"/>
    <col min="18" max="18" width="13" customWidth="1"/>
    <col min="19" max="19" width="10.8888888888889" customWidth="1"/>
    <col min="20" max="20" width="14.8888888888889" customWidth="1"/>
  </cols>
  <sheetData>
    <row r="1" s="58" customFormat="1" ht="31" customHeight="1" spans="1:17">
      <c r="A1" s="60" t="s">
        <v>20</v>
      </c>
      <c r="B1" s="60" t="s">
        <v>21</v>
      </c>
      <c r="C1" s="60" t="s">
        <v>22</v>
      </c>
      <c r="D1" s="60" t="s">
        <v>23</v>
      </c>
      <c r="E1" s="60" t="s">
        <v>24</v>
      </c>
      <c r="F1" s="60" t="s">
        <v>25</v>
      </c>
      <c r="G1" s="60" t="s">
        <v>26</v>
      </c>
      <c r="H1" s="60" t="s">
        <v>27</v>
      </c>
      <c r="I1" s="60" t="s">
        <v>28</v>
      </c>
      <c r="J1" s="60" t="s">
        <v>29</v>
      </c>
      <c r="K1" s="60" t="s">
        <v>10</v>
      </c>
      <c r="L1" s="60" t="s">
        <v>30</v>
      </c>
      <c r="M1" s="60" t="s">
        <v>31</v>
      </c>
      <c r="Q1" s="61"/>
    </row>
    <row r="2" customFormat="1" ht="134.4" spans="1:17">
      <c r="A2" s="16" t="s">
        <v>32</v>
      </c>
      <c r="B2" s="16" t="s">
        <v>33</v>
      </c>
      <c r="C2" s="62" t="s">
        <v>34</v>
      </c>
      <c r="D2" s="16" t="s">
        <v>35</v>
      </c>
      <c r="E2" s="16" t="s">
        <v>12</v>
      </c>
      <c r="F2" s="16" t="s">
        <v>36</v>
      </c>
      <c r="G2" s="63">
        <v>46035</v>
      </c>
      <c r="H2" s="63">
        <v>46035</v>
      </c>
      <c r="I2" s="62" t="s">
        <v>37</v>
      </c>
      <c r="J2" s="16" t="s">
        <v>38</v>
      </c>
      <c r="K2" s="16" t="s">
        <v>39</v>
      </c>
      <c r="L2" s="16" t="s">
        <v>40</v>
      </c>
      <c r="M2" s="16" t="s">
        <v>41</v>
      </c>
      <c r="Q2" s="59"/>
    </row>
    <row r="3" customFormat="1" ht="134.4" spans="1:17">
      <c r="A3" s="16" t="s">
        <v>42</v>
      </c>
      <c r="B3" s="16" t="s">
        <v>43</v>
      </c>
      <c r="C3" s="16" t="s">
        <v>44</v>
      </c>
      <c r="D3" s="16" t="s">
        <v>35</v>
      </c>
      <c r="E3" s="16" t="s">
        <v>12</v>
      </c>
      <c r="F3" s="16" t="s">
        <v>45</v>
      </c>
      <c r="G3" s="63">
        <v>46036</v>
      </c>
      <c r="H3" s="63">
        <v>46036</v>
      </c>
      <c r="I3" s="62" t="s">
        <v>37</v>
      </c>
      <c r="J3" s="16" t="s">
        <v>46</v>
      </c>
      <c r="K3" s="16" t="s">
        <v>47</v>
      </c>
      <c r="L3" s="16" t="s">
        <v>48</v>
      </c>
      <c r="M3" s="16" t="s">
        <v>49</v>
      </c>
      <c r="Q3" s="59"/>
    </row>
    <row r="4" ht="111.6" spans="1:17">
      <c r="A4" s="16" t="s">
        <v>50</v>
      </c>
      <c r="B4" s="16" t="s">
        <v>51</v>
      </c>
      <c r="C4" s="16" t="s">
        <v>52</v>
      </c>
      <c r="D4" s="16" t="s">
        <v>35</v>
      </c>
      <c r="E4" s="16" t="s">
        <v>12</v>
      </c>
      <c r="F4" s="16" t="s">
        <v>53</v>
      </c>
      <c r="G4" s="63">
        <v>46034</v>
      </c>
      <c r="H4" s="63">
        <v>46034</v>
      </c>
      <c r="I4" s="62" t="s">
        <v>37</v>
      </c>
      <c r="J4" s="16" t="s">
        <v>54</v>
      </c>
      <c r="K4" s="16" t="s">
        <v>55</v>
      </c>
      <c r="L4" s="16" t="s">
        <v>56</v>
      </c>
      <c r="M4" s="16" t="s">
        <v>57</v>
      </c>
    </row>
    <row r="5" ht="111.6" spans="1:17">
      <c r="A5" s="16" t="s">
        <v>58</v>
      </c>
      <c r="B5" s="16" t="s">
        <v>59</v>
      </c>
      <c r="C5" s="16" t="s">
        <v>52</v>
      </c>
      <c r="D5" s="16" t="s">
        <v>35</v>
      </c>
      <c r="E5" s="16" t="s">
        <v>12</v>
      </c>
      <c r="F5" s="16" t="s">
        <v>60</v>
      </c>
      <c r="G5" s="63">
        <v>46035</v>
      </c>
      <c r="H5" s="63">
        <v>46035</v>
      </c>
      <c r="I5" s="62" t="s">
        <v>37</v>
      </c>
      <c r="J5" s="16" t="s">
        <v>61</v>
      </c>
      <c r="K5" s="16" t="s">
        <v>62</v>
      </c>
      <c r="L5" s="16" t="s">
        <v>63</v>
      </c>
      <c r="M5" s="16" t="s">
        <v>64</v>
      </c>
    </row>
    <row r="6" ht="111.6" spans="1:17">
      <c r="A6" s="16" t="s">
        <v>65</v>
      </c>
      <c r="B6" s="16" t="s">
        <v>66</v>
      </c>
      <c r="C6" s="16" t="s">
        <v>52</v>
      </c>
      <c r="D6" s="16" t="s">
        <v>35</v>
      </c>
      <c r="E6" s="16" t="s">
        <v>12</v>
      </c>
      <c r="F6" s="16" t="s">
        <v>67</v>
      </c>
      <c r="G6" s="63">
        <v>46036</v>
      </c>
      <c r="H6" s="63">
        <v>46036</v>
      </c>
      <c r="I6" s="62" t="s">
        <v>37</v>
      </c>
      <c r="J6" s="16" t="s">
        <v>68</v>
      </c>
      <c r="K6" s="16" t="s">
        <v>69</v>
      </c>
      <c r="L6" s="16" t="s">
        <v>70</v>
      </c>
      <c r="M6" s="16" t="s">
        <v>71</v>
      </c>
    </row>
    <row r="7" ht="111.6" spans="1:17">
      <c r="A7" s="16" t="s">
        <v>72</v>
      </c>
      <c r="B7" s="16" t="s">
        <v>73</v>
      </c>
      <c r="C7" s="16" t="s">
        <v>52</v>
      </c>
      <c r="D7" s="16" t="s">
        <v>35</v>
      </c>
      <c r="E7" s="16" t="s">
        <v>12</v>
      </c>
      <c r="F7" s="16" t="s">
        <v>74</v>
      </c>
      <c r="G7" s="63">
        <v>46037</v>
      </c>
      <c r="H7" s="63">
        <v>46037</v>
      </c>
      <c r="I7" s="62" t="s">
        <v>37</v>
      </c>
      <c r="J7" s="16" t="s">
        <v>75</v>
      </c>
      <c r="K7" s="16" t="s">
        <v>76</v>
      </c>
      <c r="L7" s="16" t="s">
        <v>77</v>
      </c>
      <c r="M7" s="16" t="s">
        <v>78</v>
      </c>
    </row>
    <row r="8" ht="115.2" spans="1:17">
      <c r="A8" s="16" t="s">
        <v>79</v>
      </c>
      <c r="B8" s="16" t="s">
        <v>80</v>
      </c>
      <c r="C8" s="16" t="s">
        <v>52</v>
      </c>
      <c r="D8" s="16" t="s">
        <v>35</v>
      </c>
      <c r="E8" s="16" t="s">
        <v>81</v>
      </c>
      <c r="F8" s="16" t="s">
        <v>82</v>
      </c>
      <c r="G8" s="63">
        <v>46039</v>
      </c>
      <c r="H8" s="63">
        <v>46039</v>
      </c>
      <c r="I8" s="62" t="s">
        <v>37</v>
      </c>
      <c r="J8" s="16" t="s">
        <v>83</v>
      </c>
      <c r="K8" s="16" t="s">
        <v>84</v>
      </c>
      <c r="L8" s="16" t="s">
        <v>85</v>
      </c>
      <c r="M8" s="16" t="s">
        <v>86</v>
      </c>
    </row>
    <row r="9" ht="111.6" spans="1:17">
      <c r="A9" s="16" t="s">
        <v>87</v>
      </c>
      <c r="B9" s="16" t="s">
        <v>88</v>
      </c>
      <c r="C9" s="16" t="s">
        <v>52</v>
      </c>
      <c r="D9" s="16" t="s">
        <v>35</v>
      </c>
      <c r="E9" s="16" t="s">
        <v>81</v>
      </c>
      <c r="F9" s="16" t="s">
        <v>89</v>
      </c>
      <c r="G9" s="63">
        <v>46040</v>
      </c>
      <c r="H9" s="63">
        <v>46040</v>
      </c>
      <c r="I9" s="62" t="s">
        <v>37</v>
      </c>
      <c r="J9" s="16" t="s">
        <v>90</v>
      </c>
      <c r="K9" s="16" t="s">
        <v>91</v>
      </c>
      <c r="L9" s="16" t="s">
        <v>92</v>
      </c>
      <c r="M9" s="16" t="s">
        <v>93</v>
      </c>
    </row>
    <row r="10" ht="111.6" spans="1:17">
      <c r="A10" s="16" t="s">
        <v>94</v>
      </c>
      <c r="B10" s="16" t="s">
        <v>95</v>
      </c>
      <c r="C10" s="16" t="s">
        <v>52</v>
      </c>
      <c r="D10" s="16" t="s">
        <v>35</v>
      </c>
      <c r="E10" s="16" t="s">
        <v>81</v>
      </c>
      <c r="F10" s="16" t="s">
        <v>96</v>
      </c>
      <c r="G10" s="63">
        <v>46041</v>
      </c>
      <c r="H10" s="63">
        <v>46041</v>
      </c>
      <c r="I10" s="62" t="s">
        <v>37</v>
      </c>
      <c r="J10" s="16" t="s">
        <v>97</v>
      </c>
      <c r="K10" s="16" t="s">
        <v>98</v>
      </c>
      <c r="L10" s="16" t="s">
        <v>99</v>
      </c>
      <c r="M10" s="16" t="s">
        <v>100</v>
      </c>
    </row>
    <row r="11" ht="111.6" spans="1:17">
      <c r="A11" s="16" t="s">
        <v>101</v>
      </c>
      <c r="B11" s="16" t="s">
        <v>102</v>
      </c>
      <c r="C11" s="16" t="s">
        <v>52</v>
      </c>
      <c r="D11" s="16" t="s">
        <v>35</v>
      </c>
      <c r="E11" s="16" t="s">
        <v>81</v>
      </c>
      <c r="F11" s="16" t="s">
        <v>103</v>
      </c>
      <c r="G11" s="63">
        <v>46042</v>
      </c>
      <c r="H11" s="63">
        <v>46042</v>
      </c>
      <c r="I11" s="62" t="s">
        <v>37</v>
      </c>
      <c r="J11" s="16" t="s">
        <v>104</v>
      </c>
      <c r="K11" s="16" t="s">
        <v>105</v>
      </c>
      <c r="L11" s="16" t="s">
        <v>106</v>
      </c>
      <c r="M11" s="16" t="s">
        <v>107</v>
      </c>
    </row>
    <row r="12" ht="111.6" spans="1:17">
      <c r="A12" s="16" t="s">
        <v>108</v>
      </c>
      <c r="B12" s="16" t="s">
        <v>109</v>
      </c>
      <c r="C12" s="16" t="s">
        <v>52</v>
      </c>
      <c r="D12" s="16" t="s">
        <v>35</v>
      </c>
      <c r="E12" s="16" t="s">
        <v>12</v>
      </c>
      <c r="F12" s="16" t="s">
        <v>110</v>
      </c>
      <c r="G12" s="63">
        <v>46043</v>
      </c>
      <c r="H12" s="63">
        <v>46043</v>
      </c>
      <c r="I12" s="62" t="s">
        <v>37</v>
      </c>
      <c r="J12" s="16" t="s">
        <v>111</v>
      </c>
      <c r="K12" s="16" t="s">
        <v>112</v>
      </c>
      <c r="L12" s="16" t="s">
        <v>113</v>
      </c>
      <c r="M12" s="16" t="s">
        <v>114</v>
      </c>
    </row>
    <row r="13" ht="111.6" spans="1:17">
      <c r="A13" s="16" t="s">
        <v>115</v>
      </c>
      <c r="B13" s="16" t="s">
        <v>116</v>
      </c>
      <c r="C13" s="16" t="s">
        <v>52</v>
      </c>
      <c r="D13" s="16" t="s">
        <v>35</v>
      </c>
      <c r="E13" s="16" t="s">
        <v>12</v>
      </c>
      <c r="F13" s="16" t="s">
        <v>117</v>
      </c>
      <c r="G13" s="63">
        <v>46044</v>
      </c>
      <c r="H13" s="63">
        <v>46044</v>
      </c>
      <c r="I13" s="62" t="s">
        <v>37</v>
      </c>
      <c r="J13" s="16" t="s">
        <v>118</v>
      </c>
      <c r="K13" s="16" t="s">
        <v>119</v>
      </c>
      <c r="L13" s="16" t="s">
        <v>120</v>
      </c>
      <c r="M13" s="16" t="s">
        <v>121</v>
      </c>
    </row>
    <row r="14" ht="111.6" spans="1:17">
      <c r="A14" s="16" t="s">
        <v>122</v>
      </c>
      <c r="B14" s="16" t="s">
        <v>123</v>
      </c>
      <c r="C14" s="16" t="s">
        <v>52</v>
      </c>
      <c r="D14" s="16" t="s">
        <v>35</v>
      </c>
      <c r="E14" s="16" t="s">
        <v>12</v>
      </c>
      <c r="F14" s="16" t="s">
        <v>124</v>
      </c>
      <c r="G14" s="63">
        <v>46045</v>
      </c>
      <c r="H14" s="63">
        <v>46045</v>
      </c>
      <c r="I14" s="62" t="s">
        <v>37</v>
      </c>
      <c r="J14" s="16" t="s">
        <v>125</v>
      </c>
      <c r="K14" s="16" t="s">
        <v>126</v>
      </c>
      <c r="L14" s="16" t="s">
        <v>127</v>
      </c>
      <c r="M14" s="16" t="s">
        <v>128</v>
      </c>
    </row>
    <row r="15" ht="111.6" spans="1:17">
      <c r="A15" s="16" t="s">
        <v>129</v>
      </c>
      <c r="B15" s="16" t="s">
        <v>130</v>
      </c>
      <c r="C15" s="16" t="s">
        <v>52</v>
      </c>
      <c r="D15" s="16" t="s">
        <v>35</v>
      </c>
      <c r="E15" s="16" t="s">
        <v>12</v>
      </c>
      <c r="F15" s="16" t="s">
        <v>131</v>
      </c>
      <c r="G15" s="63">
        <v>46046</v>
      </c>
      <c r="H15" s="63">
        <v>46046</v>
      </c>
      <c r="I15" s="62" t="s">
        <v>37</v>
      </c>
      <c r="J15" s="16" t="s">
        <v>132</v>
      </c>
      <c r="K15" s="16" t="s">
        <v>133</v>
      </c>
      <c r="L15" s="16" t="s">
        <v>134</v>
      </c>
      <c r="M15" s="16" t="s">
        <v>135</v>
      </c>
    </row>
    <row r="16" ht="111.6" spans="1:17">
      <c r="A16" s="16" t="s">
        <v>136</v>
      </c>
      <c r="B16" s="16" t="s">
        <v>137</v>
      </c>
      <c r="C16" s="16" t="s">
        <v>138</v>
      </c>
      <c r="D16" s="16" t="s">
        <v>35</v>
      </c>
      <c r="E16" s="16" t="s">
        <v>81</v>
      </c>
      <c r="F16" s="16" t="s">
        <v>139</v>
      </c>
      <c r="G16" s="63">
        <v>46032</v>
      </c>
      <c r="H16" s="63">
        <v>46032</v>
      </c>
      <c r="I16" s="62" t="s">
        <v>37</v>
      </c>
      <c r="J16" s="16" t="s">
        <v>140</v>
      </c>
      <c r="K16" s="16" t="s">
        <v>141</v>
      </c>
      <c r="L16" s="16" t="s">
        <v>142</v>
      </c>
      <c r="M16" s="16" t="s">
        <v>143</v>
      </c>
    </row>
    <row r="17" ht="111.6" spans="1:13">
      <c r="A17" s="16" t="s">
        <v>144</v>
      </c>
      <c r="B17" s="16" t="s">
        <v>145</v>
      </c>
      <c r="C17" s="62" t="s">
        <v>146</v>
      </c>
      <c r="D17" s="16" t="s">
        <v>35</v>
      </c>
      <c r="E17" s="16" t="s">
        <v>81</v>
      </c>
      <c r="F17" s="16" t="s">
        <v>147</v>
      </c>
      <c r="G17" s="63">
        <v>46033</v>
      </c>
      <c r="H17" s="63">
        <v>46033</v>
      </c>
      <c r="I17" s="62" t="s">
        <v>37</v>
      </c>
      <c r="J17" s="16" t="s">
        <v>148</v>
      </c>
      <c r="K17" s="16" t="s">
        <v>149</v>
      </c>
      <c r="L17" s="16" t="s">
        <v>150</v>
      </c>
      <c r="M17" s="16" t="s">
        <v>151</v>
      </c>
    </row>
    <row r="18" ht="111.6" spans="1:13">
      <c r="A18" s="16" t="s">
        <v>152</v>
      </c>
      <c r="B18" s="16" t="s">
        <v>153</v>
      </c>
      <c r="C18" s="16" t="s">
        <v>138</v>
      </c>
      <c r="D18" s="16" t="s">
        <v>35</v>
      </c>
      <c r="E18" s="16" t="s">
        <v>81</v>
      </c>
      <c r="F18" s="16" t="s">
        <v>154</v>
      </c>
      <c r="G18" s="63">
        <v>46034</v>
      </c>
      <c r="H18" s="63">
        <v>46034</v>
      </c>
      <c r="I18" s="62" t="s">
        <v>37</v>
      </c>
      <c r="J18" s="16" t="s">
        <v>155</v>
      </c>
      <c r="K18" s="16" t="s">
        <v>156</v>
      </c>
      <c r="L18" s="16" t="s">
        <v>157</v>
      </c>
      <c r="M18" s="16" t="s">
        <v>158</v>
      </c>
    </row>
    <row r="19" ht="111.6" spans="1:13">
      <c r="A19" s="16" t="s">
        <v>159</v>
      </c>
      <c r="B19" s="16" t="s">
        <v>160</v>
      </c>
      <c r="C19" s="16" t="s">
        <v>138</v>
      </c>
      <c r="D19" s="16" t="s">
        <v>35</v>
      </c>
      <c r="E19" s="16" t="s">
        <v>81</v>
      </c>
      <c r="F19" s="16" t="s">
        <v>161</v>
      </c>
      <c r="G19" s="63">
        <v>46035</v>
      </c>
      <c r="H19" s="63">
        <v>46035</v>
      </c>
      <c r="I19" s="62" t="s">
        <v>37</v>
      </c>
      <c r="J19" s="16" t="s">
        <v>162</v>
      </c>
      <c r="K19" s="16" t="s">
        <v>163</v>
      </c>
      <c r="L19" s="16" t="s">
        <v>164</v>
      </c>
      <c r="M19" s="16" t="s">
        <v>165</v>
      </c>
    </row>
    <row r="20" ht="111.6" spans="1:13">
      <c r="A20" s="16" t="s">
        <v>166</v>
      </c>
      <c r="B20" s="16" t="s">
        <v>167</v>
      </c>
      <c r="C20" s="16" t="s">
        <v>138</v>
      </c>
      <c r="D20" s="16" t="s">
        <v>35</v>
      </c>
      <c r="E20" s="16" t="s">
        <v>12</v>
      </c>
      <c r="F20" s="16" t="s">
        <v>168</v>
      </c>
      <c r="G20" s="63">
        <v>46038</v>
      </c>
      <c r="H20" s="63">
        <v>46038</v>
      </c>
      <c r="I20" s="62" t="s">
        <v>37</v>
      </c>
      <c r="J20" s="16" t="s">
        <v>169</v>
      </c>
      <c r="K20" s="16" t="s">
        <v>170</v>
      </c>
      <c r="L20" s="16" t="s">
        <v>171</v>
      </c>
      <c r="M20" s="16" t="s">
        <v>172</v>
      </c>
    </row>
    <row r="21" ht="111.6" spans="1:13">
      <c r="A21" s="16" t="s">
        <v>173</v>
      </c>
      <c r="B21" s="16" t="s">
        <v>174</v>
      </c>
      <c r="C21" s="16" t="s">
        <v>138</v>
      </c>
      <c r="D21" s="16" t="s">
        <v>35</v>
      </c>
      <c r="E21" s="16" t="s">
        <v>12</v>
      </c>
      <c r="F21" s="16" t="s">
        <v>175</v>
      </c>
      <c r="G21" s="63">
        <v>46039</v>
      </c>
      <c r="H21" s="63">
        <v>46039</v>
      </c>
      <c r="I21" s="62" t="s">
        <v>37</v>
      </c>
      <c r="J21" s="16" t="s">
        <v>176</v>
      </c>
      <c r="K21" s="16" t="s">
        <v>177</v>
      </c>
      <c r="L21" s="16" t="s">
        <v>178</v>
      </c>
      <c r="M21" s="16" t="s">
        <v>179</v>
      </c>
    </row>
    <row r="22" ht="111.6" spans="1:13">
      <c r="A22" s="16" t="s">
        <v>180</v>
      </c>
      <c r="B22" s="16" t="s">
        <v>181</v>
      </c>
      <c r="C22" s="16" t="s">
        <v>138</v>
      </c>
      <c r="D22" s="16" t="s">
        <v>35</v>
      </c>
      <c r="E22" s="16" t="s">
        <v>12</v>
      </c>
      <c r="F22" s="16" t="s">
        <v>182</v>
      </c>
      <c r="G22" s="63">
        <v>46040</v>
      </c>
      <c r="H22" s="63">
        <v>46040</v>
      </c>
      <c r="I22" s="62" t="s">
        <v>37</v>
      </c>
      <c r="J22" s="16" t="s">
        <v>183</v>
      </c>
      <c r="K22" s="16" t="s">
        <v>184</v>
      </c>
      <c r="L22" s="16" t="s">
        <v>185</v>
      </c>
      <c r="M22" s="16" t="s">
        <v>186</v>
      </c>
    </row>
    <row r="23" ht="111.6" spans="1:13">
      <c r="A23" s="16" t="s">
        <v>187</v>
      </c>
      <c r="B23" s="16" t="s">
        <v>188</v>
      </c>
      <c r="C23" s="16" t="s">
        <v>138</v>
      </c>
      <c r="D23" s="16" t="s">
        <v>35</v>
      </c>
      <c r="E23" s="16" t="s">
        <v>12</v>
      </c>
      <c r="F23" s="16" t="s">
        <v>189</v>
      </c>
      <c r="G23" s="63">
        <v>46041</v>
      </c>
      <c r="H23" s="63">
        <v>46041</v>
      </c>
      <c r="I23" s="62" t="s">
        <v>37</v>
      </c>
      <c r="J23" s="16" t="s">
        <v>190</v>
      </c>
      <c r="K23" s="16" t="s">
        <v>191</v>
      </c>
      <c r="L23" s="16" t="s">
        <v>192</v>
      </c>
      <c r="M23" s="16" t="s">
        <v>193</v>
      </c>
    </row>
    <row r="24" ht="111.6" spans="1:13">
      <c r="A24" s="16" t="s">
        <v>194</v>
      </c>
      <c r="B24" s="16" t="s">
        <v>195</v>
      </c>
      <c r="C24" s="16" t="s">
        <v>196</v>
      </c>
      <c r="D24" s="16" t="s">
        <v>35</v>
      </c>
      <c r="E24" s="16" t="s">
        <v>197</v>
      </c>
      <c r="F24" s="16" t="s">
        <v>198</v>
      </c>
      <c r="G24" s="63">
        <v>46033</v>
      </c>
      <c r="H24" s="63">
        <v>46033</v>
      </c>
      <c r="I24" s="62" t="s">
        <v>37</v>
      </c>
      <c r="J24" s="16" t="s">
        <v>199</v>
      </c>
      <c r="K24" s="16" t="s">
        <v>200</v>
      </c>
      <c r="L24" s="16" t="s">
        <v>201</v>
      </c>
      <c r="M24" s="16" t="s">
        <v>202</v>
      </c>
    </row>
    <row r="25" ht="111.6" spans="1:13">
      <c r="A25" s="16" t="s">
        <v>203</v>
      </c>
      <c r="B25" s="16" t="s">
        <v>204</v>
      </c>
      <c r="C25" s="62" t="s">
        <v>205</v>
      </c>
      <c r="D25" s="16" t="s">
        <v>35</v>
      </c>
      <c r="E25" s="16" t="s">
        <v>197</v>
      </c>
      <c r="F25" s="16" t="s">
        <v>147</v>
      </c>
      <c r="G25" s="63">
        <v>46034</v>
      </c>
      <c r="H25" s="63">
        <v>46034</v>
      </c>
      <c r="I25" s="62" t="s">
        <v>37</v>
      </c>
      <c r="J25" s="16" t="s">
        <v>206</v>
      </c>
      <c r="K25" s="16" t="s">
        <v>207</v>
      </c>
      <c r="L25" s="16" t="s">
        <v>208</v>
      </c>
      <c r="M25" s="16" t="s">
        <v>209</v>
      </c>
    </row>
    <row r="26" ht="111.6" spans="1:13">
      <c r="A26" s="16" t="s">
        <v>210</v>
      </c>
      <c r="B26" s="16" t="s">
        <v>211</v>
      </c>
      <c r="C26" s="16" t="s">
        <v>196</v>
      </c>
      <c r="D26" s="16" t="s">
        <v>35</v>
      </c>
      <c r="E26" s="16" t="s">
        <v>197</v>
      </c>
      <c r="F26" s="16" t="s">
        <v>212</v>
      </c>
      <c r="G26" s="63">
        <v>46035</v>
      </c>
      <c r="H26" s="63">
        <v>46035</v>
      </c>
      <c r="I26" s="62" t="s">
        <v>37</v>
      </c>
      <c r="J26" s="16" t="s">
        <v>213</v>
      </c>
      <c r="K26" s="16" t="s">
        <v>214</v>
      </c>
      <c r="L26" s="16" t="s">
        <v>215</v>
      </c>
      <c r="M26" s="16" t="s">
        <v>216</v>
      </c>
    </row>
    <row r="27" ht="111.6" spans="1:13">
      <c r="A27" s="16" t="s">
        <v>217</v>
      </c>
      <c r="B27" s="16" t="s">
        <v>218</v>
      </c>
      <c r="C27" s="16" t="s">
        <v>196</v>
      </c>
      <c r="D27" s="16" t="s">
        <v>35</v>
      </c>
      <c r="E27" s="16" t="s">
        <v>197</v>
      </c>
      <c r="F27" s="16" t="s">
        <v>219</v>
      </c>
      <c r="G27" s="63">
        <v>46036</v>
      </c>
      <c r="H27" s="63">
        <v>46036</v>
      </c>
      <c r="I27" s="62" t="s">
        <v>37</v>
      </c>
      <c r="J27" s="16" t="s">
        <v>220</v>
      </c>
      <c r="K27" s="16" t="s">
        <v>221</v>
      </c>
      <c r="L27" s="16" t="s">
        <v>222</v>
      </c>
      <c r="M27" s="16" t="s">
        <v>223</v>
      </c>
    </row>
    <row r="28" ht="111.6" spans="1:13">
      <c r="A28" s="16" t="s">
        <v>224</v>
      </c>
      <c r="B28" s="16" t="s">
        <v>225</v>
      </c>
      <c r="C28" s="16" t="s">
        <v>196</v>
      </c>
      <c r="D28" s="16" t="s">
        <v>35</v>
      </c>
      <c r="E28" s="16" t="s">
        <v>226</v>
      </c>
      <c r="F28" s="16" t="s">
        <v>227</v>
      </c>
      <c r="G28" s="63">
        <v>46042</v>
      </c>
      <c r="H28" s="63">
        <v>46042</v>
      </c>
      <c r="I28" s="62" t="s">
        <v>37</v>
      </c>
      <c r="J28" s="16" t="s">
        <v>228</v>
      </c>
      <c r="K28" s="16" t="s">
        <v>229</v>
      </c>
      <c r="L28" s="16" t="s">
        <v>230</v>
      </c>
      <c r="M28" s="16" t="s">
        <v>231</v>
      </c>
    </row>
    <row r="29" ht="111.6" spans="1:13">
      <c r="A29" s="16" t="s">
        <v>232</v>
      </c>
      <c r="B29" s="16" t="s">
        <v>233</v>
      </c>
      <c r="C29" s="16" t="s">
        <v>196</v>
      </c>
      <c r="D29" s="16" t="s">
        <v>35</v>
      </c>
      <c r="E29" s="16" t="s">
        <v>197</v>
      </c>
      <c r="F29" s="16" t="s">
        <v>234</v>
      </c>
      <c r="G29" s="63">
        <v>46043</v>
      </c>
      <c r="H29" s="63">
        <v>46043</v>
      </c>
      <c r="I29" s="62" t="s">
        <v>37</v>
      </c>
      <c r="J29" s="16" t="s">
        <v>235</v>
      </c>
      <c r="K29" s="16" t="s">
        <v>236</v>
      </c>
      <c r="L29" s="16" t="s">
        <v>237</v>
      </c>
      <c r="M29" s="16" t="s">
        <v>238</v>
      </c>
    </row>
    <row r="30" ht="111.6" spans="1:13">
      <c r="A30" s="16" t="s">
        <v>239</v>
      </c>
      <c r="B30" s="16" t="s">
        <v>240</v>
      </c>
      <c r="C30" s="16" t="s">
        <v>241</v>
      </c>
      <c r="D30" s="16" t="s">
        <v>35</v>
      </c>
      <c r="E30" s="16" t="s">
        <v>12</v>
      </c>
      <c r="F30" s="16" t="s">
        <v>242</v>
      </c>
      <c r="G30" s="63">
        <v>46037</v>
      </c>
      <c r="H30" s="63">
        <v>46037</v>
      </c>
      <c r="I30" s="62" t="s">
        <v>37</v>
      </c>
      <c r="J30" s="16" t="s">
        <v>243</v>
      </c>
      <c r="K30" s="16" t="s">
        <v>244</v>
      </c>
      <c r="L30" s="16" t="s">
        <v>245</v>
      </c>
      <c r="M30" s="16" t="s">
        <v>246</v>
      </c>
    </row>
    <row r="31" ht="111.6" spans="1:13">
      <c r="A31" s="16" t="s">
        <v>247</v>
      </c>
      <c r="B31" s="16" t="s">
        <v>248</v>
      </c>
      <c r="C31" s="16" t="s">
        <v>241</v>
      </c>
      <c r="D31" s="16" t="s">
        <v>35</v>
      </c>
      <c r="E31" s="16" t="s">
        <v>12</v>
      </c>
      <c r="F31" s="16" t="s">
        <v>249</v>
      </c>
      <c r="G31" s="63">
        <v>46038</v>
      </c>
      <c r="H31" s="63">
        <v>46038</v>
      </c>
      <c r="I31" s="62" t="s">
        <v>37</v>
      </c>
      <c r="J31" s="16" t="s">
        <v>250</v>
      </c>
      <c r="K31" s="16" t="s">
        <v>251</v>
      </c>
      <c r="L31" s="16" t="s">
        <v>252</v>
      </c>
      <c r="M31" s="16" t="s">
        <v>253</v>
      </c>
    </row>
    <row r="32" ht="111.6" spans="1:13">
      <c r="A32" s="16" t="s">
        <v>254</v>
      </c>
      <c r="B32" s="16" t="s">
        <v>255</v>
      </c>
      <c r="C32" s="16" t="s">
        <v>241</v>
      </c>
      <c r="D32" s="16" t="s">
        <v>35</v>
      </c>
      <c r="E32" s="16" t="s">
        <v>12</v>
      </c>
      <c r="F32" s="16" t="s">
        <v>256</v>
      </c>
      <c r="G32" s="63">
        <v>46039</v>
      </c>
      <c r="H32" s="63">
        <v>46039</v>
      </c>
      <c r="I32" s="62" t="s">
        <v>37</v>
      </c>
      <c r="J32" s="16" t="s">
        <v>257</v>
      </c>
      <c r="K32" s="16" t="s">
        <v>258</v>
      </c>
      <c r="L32" s="16" t="s">
        <v>259</v>
      </c>
      <c r="M32" s="16" t="s">
        <v>260</v>
      </c>
    </row>
    <row r="33" ht="111.6" spans="1:13">
      <c r="A33" s="16" t="s">
        <v>261</v>
      </c>
      <c r="B33" s="16" t="s">
        <v>262</v>
      </c>
      <c r="C33" s="62" t="s">
        <v>263</v>
      </c>
      <c r="D33" s="16" t="s">
        <v>35</v>
      </c>
      <c r="E33" s="16" t="s">
        <v>12</v>
      </c>
      <c r="F33" s="16" t="s">
        <v>264</v>
      </c>
      <c r="G33" s="63">
        <v>46040</v>
      </c>
      <c r="H33" s="63">
        <v>46040</v>
      </c>
      <c r="I33" s="62" t="s">
        <v>37</v>
      </c>
      <c r="J33" s="16" t="s">
        <v>265</v>
      </c>
      <c r="K33" s="16" t="s">
        <v>266</v>
      </c>
      <c r="L33" s="16" t="s">
        <v>267</v>
      </c>
      <c r="M33" s="16" t="s">
        <v>268</v>
      </c>
    </row>
    <row r="34" ht="111.6" spans="1:13">
      <c r="A34" s="16" t="s">
        <v>269</v>
      </c>
      <c r="B34" s="16" t="s">
        <v>270</v>
      </c>
      <c r="C34" s="16" t="s">
        <v>241</v>
      </c>
      <c r="D34" s="16" t="s">
        <v>35</v>
      </c>
      <c r="E34" s="16" t="s">
        <v>12</v>
      </c>
      <c r="F34" s="16" t="s">
        <v>271</v>
      </c>
      <c r="G34" s="63">
        <v>46041</v>
      </c>
      <c r="H34" s="63">
        <v>46041</v>
      </c>
      <c r="I34" s="62" t="s">
        <v>37</v>
      </c>
      <c r="J34" s="16" t="s">
        <v>272</v>
      </c>
      <c r="K34" s="16" t="s">
        <v>273</v>
      </c>
      <c r="L34" s="16" t="s">
        <v>274</v>
      </c>
      <c r="M34" s="16" t="s">
        <v>275</v>
      </c>
    </row>
    <row r="35" ht="115.2" spans="1:13">
      <c r="A35" s="16" t="s">
        <v>276</v>
      </c>
      <c r="B35" s="16" t="s">
        <v>277</v>
      </c>
      <c r="C35" s="16" t="s">
        <v>241</v>
      </c>
      <c r="D35" s="16" t="s">
        <v>35</v>
      </c>
      <c r="E35" s="16" t="s">
        <v>197</v>
      </c>
      <c r="F35" s="16" t="s">
        <v>278</v>
      </c>
      <c r="G35" s="63">
        <v>46044</v>
      </c>
      <c r="H35" s="63">
        <v>46044</v>
      </c>
      <c r="I35" s="62" t="s">
        <v>37</v>
      </c>
      <c r="J35" s="16" t="s">
        <v>279</v>
      </c>
      <c r="K35" s="16" t="s">
        <v>280</v>
      </c>
      <c r="L35" s="16" t="s">
        <v>281</v>
      </c>
      <c r="M35" s="16" t="s">
        <v>282</v>
      </c>
    </row>
    <row r="36" ht="115.2" spans="1:13">
      <c r="A36" s="16" t="s">
        <v>283</v>
      </c>
      <c r="B36" s="16" t="s">
        <v>284</v>
      </c>
      <c r="C36" s="16" t="s">
        <v>241</v>
      </c>
      <c r="D36" s="16" t="s">
        <v>35</v>
      </c>
      <c r="E36" s="16" t="s">
        <v>197</v>
      </c>
      <c r="F36" s="16" t="s">
        <v>285</v>
      </c>
      <c r="G36" s="63">
        <v>46045</v>
      </c>
      <c r="H36" s="63">
        <v>46045</v>
      </c>
      <c r="I36" s="62" t="s">
        <v>37</v>
      </c>
      <c r="J36" s="16" t="s">
        <v>286</v>
      </c>
      <c r="K36" s="16" t="s">
        <v>287</v>
      </c>
      <c r="L36" s="16" t="s">
        <v>288</v>
      </c>
      <c r="M36" s="16" t="s">
        <v>289</v>
      </c>
    </row>
    <row r="37" ht="111.6" spans="1:13">
      <c r="A37" s="16" t="s">
        <v>290</v>
      </c>
      <c r="B37" s="16" t="s">
        <v>291</v>
      </c>
      <c r="C37" s="16" t="s">
        <v>241</v>
      </c>
      <c r="D37" s="16" t="s">
        <v>35</v>
      </c>
      <c r="E37" s="16" t="s">
        <v>197</v>
      </c>
      <c r="F37" s="16" t="s">
        <v>292</v>
      </c>
      <c r="G37" s="63">
        <v>46046</v>
      </c>
      <c r="H37" s="63">
        <v>46046</v>
      </c>
      <c r="I37" s="62" t="s">
        <v>37</v>
      </c>
      <c r="J37" s="16" t="s">
        <v>293</v>
      </c>
      <c r="K37" s="16" t="s">
        <v>294</v>
      </c>
      <c r="L37" s="16" t="s">
        <v>295</v>
      </c>
      <c r="M37" s="16" t="s">
        <v>296</v>
      </c>
    </row>
    <row r="38" ht="111.6" spans="1:13">
      <c r="A38" s="16" t="s">
        <v>297</v>
      </c>
      <c r="B38" s="16" t="s">
        <v>298</v>
      </c>
      <c r="C38" s="16" t="s">
        <v>241</v>
      </c>
      <c r="D38" s="16" t="s">
        <v>35</v>
      </c>
      <c r="E38" s="16" t="s">
        <v>197</v>
      </c>
      <c r="F38" s="16" t="s">
        <v>299</v>
      </c>
      <c r="G38" s="63">
        <v>46047</v>
      </c>
      <c r="H38" s="63">
        <v>46047</v>
      </c>
      <c r="I38" s="62" t="s">
        <v>37</v>
      </c>
      <c r="J38" s="16" t="s">
        <v>300</v>
      </c>
      <c r="K38" s="16" t="s">
        <v>301</v>
      </c>
      <c r="L38" s="16" t="s">
        <v>302</v>
      </c>
      <c r="M38" s="16" t="s">
        <v>303</v>
      </c>
    </row>
    <row r="39" ht="111.6" spans="1:13">
      <c r="A39" s="16" t="s">
        <v>304</v>
      </c>
      <c r="B39" s="16" t="s">
        <v>305</v>
      </c>
      <c r="C39" s="16" t="s">
        <v>241</v>
      </c>
      <c r="D39" s="16" t="s">
        <v>35</v>
      </c>
      <c r="E39" s="16" t="s">
        <v>197</v>
      </c>
      <c r="F39" s="16" t="s">
        <v>306</v>
      </c>
      <c r="G39" s="63">
        <v>46048</v>
      </c>
      <c r="H39" s="63">
        <v>46048</v>
      </c>
      <c r="I39" s="62" t="s">
        <v>37</v>
      </c>
      <c r="J39" s="16" t="s">
        <v>307</v>
      </c>
      <c r="K39" s="16" t="s">
        <v>266</v>
      </c>
      <c r="L39" s="16" t="s">
        <v>308</v>
      </c>
      <c r="M39" s="16" t="s">
        <v>309</v>
      </c>
    </row>
    <row r="40" ht="111.6" spans="1:13">
      <c r="A40" s="16" t="s">
        <v>310</v>
      </c>
      <c r="B40" s="16" t="s">
        <v>311</v>
      </c>
      <c r="C40" s="16" t="s">
        <v>312</v>
      </c>
      <c r="D40" s="16" t="s">
        <v>35</v>
      </c>
      <c r="E40" s="16" t="s">
        <v>81</v>
      </c>
      <c r="F40" s="16" t="s">
        <v>313</v>
      </c>
      <c r="G40" s="63">
        <v>46036</v>
      </c>
      <c r="H40" s="63">
        <v>46036</v>
      </c>
      <c r="I40" s="62" t="s">
        <v>37</v>
      </c>
      <c r="J40" s="16" t="s">
        <v>314</v>
      </c>
      <c r="K40" s="16" t="s">
        <v>315</v>
      </c>
      <c r="L40" s="16" t="s">
        <v>316</v>
      </c>
      <c r="M40" s="16" t="s">
        <v>317</v>
      </c>
    </row>
    <row r="41" ht="111.6" spans="1:13">
      <c r="A41" s="16" t="s">
        <v>318</v>
      </c>
      <c r="B41" s="16" t="s">
        <v>319</v>
      </c>
      <c r="C41" s="16" t="s">
        <v>312</v>
      </c>
      <c r="D41" s="16" t="s">
        <v>35</v>
      </c>
      <c r="E41" s="16" t="s">
        <v>81</v>
      </c>
      <c r="F41" s="16" t="s">
        <v>320</v>
      </c>
      <c r="G41" s="63">
        <v>46037</v>
      </c>
      <c r="H41" s="63">
        <v>46037</v>
      </c>
      <c r="I41" s="62" t="s">
        <v>37</v>
      </c>
      <c r="J41" s="16" t="s">
        <v>321</v>
      </c>
      <c r="K41" s="16" t="s">
        <v>251</v>
      </c>
      <c r="L41" s="16" t="s">
        <v>322</v>
      </c>
      <c r="M41" s="16" t="s">
        <v>323</v>
      </c>
    </row>
    <row r="42" ht="111.6" spans="1:13">
      <c r="A42" s="16" t="s">
        <v>324</v>
      </c>
      <c r="B42" s="16" t="s">
        <v>325</v>
      </c>
      <c r="C42" s="62" t="s">
        <v>326</v>
      </c>
      <c r="D42" s="16" t="s">
        <v>35</v>
      </c>
      <c r="E42" s="16" t="s">
        <v>81</v>
      </c>
      <c r="F42" s="16" t="s">
        <v>327</v>
      </c>
      <c r="G42" s="63">
        <v>46038</v>
      </c>
      <c r="H42" s="63">
        <v>46038</v>
      </c>
      <c r="I42" s="62" t="s">
        <v>37</v>
      </c>
      <c r="J42" s="16" t="s">
        <v>328</v>
      </c>
      <c r="K42" s="16" t="s">
        <v>329</v>
      </c>
      <c r="L42" s="16" t="s">
        <v>330</v>
      </c>
      <c r="M42" s="16" t="s">
        <v>331</v>
      </c>
    </row>
    <row r="43" ht="111.6" spans="1:13">
      <c r="A43" s="16" t="s">
        <v>332</v>
      </c>
      <c r="B43" s="16" t="s">
        <v>333</v>
      </c>
      <c r="C43" s="16" t="s">
        <v>312</v>
      </c>
      <c r="D43" s="16" t="s">
        <v>35</v>
      </c>
      <c r="E43" s="16" t="s">
        <v>81</v>
      </c>
      <c r="F43" s="16" t="s">
        <v>334</v>
      </c>
      <c r="G43" s="63">
        <v>46039</v>
      </c>
      <c r="H43" s="63">
        <v>46039</v>
      </c>
      <c r="I43" s="62" t="s">
        <v>37</v>
      </c>
      <c r="J43" s="16" t="s">
        <v>335</v>
      </c>
      <c r="K43" s="16" t="s">
        <v>266</v>
      </c>
      <c r="L43" s="16" t="s">
        <v>336</v>
      </c>
      <c r="M43" s="16" t="s">
        <v>337</v>
      </c>
    </row>
    <row r="44" ht="111.6" spans="1:13">
      <c r="A44" s="16" t="s">
        <v>338</v>
      </c>
      <c r="B44" s="16" t="s">
        <v>339</v>
      </c>
      <c r="C44" s="16" t="s">
        <v>312</v>
      </c>
      <c r="D44" s="16" t="s">
        <v>35</v>
      </c>
      <c r="E44" s="16" t="s">
        <v>81</v>
      </c>
      <c r="F44" s="16" t="s">
        <v>340</v>
      </c>
      <c r="G44" s="63">
        <v>46040</v>
      </c>
      <c r="H44" s="63">
        <v>46040</v>
      </c>
      <c r="I44" s="62" t="s">
        <v>37</v>
      </c>
      <c r="J44" s="16" t="s">
        <v>341</v>
      </c>
      <c r="K44" s="16" t="s">
        <v>342</v>
      </c>
      <c r="L44" s="16" t="s">
        <v>343</v>
      </c>
      <c r="M44" s="16" t="s">
        <v>344</v>
      </c>
    </row>
    <row r="45" ht="115.2" spans="1:13">
      <c r="A45" s="16" t="s">
        <v>345</v>
      </c>
      <c r="B45" s="16" t="s">
        <v>346</v>
      </c>
      <c r="C45" s="16" t="s">
        <v>312</v>
      </c>
      <c r="D45" s="16" t="s">
        <v>35</v>
      </c>
      <c r="E45" s="16" t="s">
        <v>197</v>
      </c>
      <c r="F45" s="16" t="s">
        <v>347</v>
      </c>
      <c r="G45" s="63">
        <v>46043</v>
      </c>
      <c r="H45" s="63">
        <v>46043</v>
      </c>
      <c r="I45" s="62" t="s">
        <v>37</v>
      </c>
      <c r="J45" s="16" t="s">
        <v>348</v>
      </c>
      <c r="K45" s="16" t="s">
        <v>349</v>
      </c>
      <c r="L45" s="16" t="s">
        <v>350</v>
      </c>
      <c r="M45" s="16" t="s">
        <v>351</v>
      </c>
    </row>
    <row r="46" ht="115.2" spans="1:13">
      <c r="A46" s="16" t="s">
        <v>352</v>
      </c>
      <c r="B46" s="16" t="s">
        <v>353</v>
      </c>
      <c r="C46" s="16" t="s">
        <v>312</v>
      </c>
      <c r="D46" s="16" t="s">
        <v>35</v>
      </c>
      <c r="E46" s="16" t="s">
        <v>197</v>
      </c>
      <c r="F46" s="16" t="s">
        <v>354</v>
      </c>
      <c r="G46" s="63">
        <v>46044</v>
      </c>
      <c r="H46" s="63">
        <v>46044</v>
      </c>
      <c r="I46" s="62" t="s">
        <v>37</v>
      </c>
      <c r="J46" s="16" t="s">
        <v>355</v>
      </c>
      <c r="K46" s="16" t="s">
        <v>356</v>
      </c>
      <c r="L46" s="16" t="s">
        <v>357</v>
      </c>
      <c r="M46" s="16" t="s">
        <v>358</v>
      </c>
    </row>
    <row r="47" ht="111.6" spans="1:13">
      <c r="A47" s="16" t="s">
        <v>359</v>
      </c>
      <c r="B47" s="16" t="s">
        <v>360</v>
      </c>
      <c r="C47" s="16" t="s">
        <v>312</v>
      </c>
      <c r="D47" s="16" t="s">
        <v>35</v>
      </c>
      <c r="E47" s="16" t="s">
        <v>197</v>
      </c>
      <c r="F47" s="16" t="s">
        <v>361</v>
      </c>
      <c r="G47" s="63">
        <v>46045</v>
      </c>
      <c r="H47" s="63">
        <v>46045</v>
      </c>
      <c r="I47" s="62" t="s">
        <v>37</v>
      </c>
      <c r="J47" s="16" t="s">
        <v>362</v>
      </c>
      <c r="K47" s="16" t="s">
        <v>363</v>
      </c>
      <c r="L47" s="16" t="s">
        <v>364</v>
      </c>
      <c r="M47" s="16" t="s">
        <v>365</v>
      </c>
    </row>
    <row r="48" ht="111.6" spans="1:13">
      <c r="A48" s="16" t="s">
        <v>366</v>
      </c>
      <c r="B48" s="16" t="s">
        <v>367</v>
      </c>
      <c r="C48" s="16" t="s">
        <v>312</v>
      </c>
      <c r="D48" s="16" t="s">
        <v>35</v>
      </c>
      <c r="E48" s="16" t="s">
        <v>197</v>
      </c>
      <c r="F48" s="16" t="s">
        <v>368</v>
      </c>
      <c r="G48" s="63">
        <v>46046</v>
      </c>
      <c r="H48" s="63">
        <v>46046</v>
      </c>
      <c r="I48" s="62" t="s">
        <v>37</v>
      </c>
      <c r="J48" s="16" t="s">
        <v>369</v>
      </c>
      <c r="K48" s="16" t="s">
        <v>301</v>
      </c>
      <c r="L48" s="16" t="s">
        <v>370</v>
      </c>
      <c r="M48" s="16" t="s">
        <v>371</v>
      </c>
    </row>
    <row r="49" ht="111.6" spans="1:13">
      <c r="A49" s="16" t="s">
        <v>372</v>
      </c>
      <c r="B49" s="16" t="s">
        <v>373</v>
      </c>
      <c r="C49" s="16" t="s">
        <v>312</v>
      </c>
      <c r="D49" s="16" t="s">
        <v>35</v>
      </c>
      <c r="E49" s="16" t="s">
        <v>197</v>
      </c>
      <c r="F49" s="16" t="s">
        <v>306</v>
      </c>
      <c r="G49" s="63">
        <v>46047</v>
      </c>
      <c r="H49" s="63">
        <v>46047</v>
      </c>
      <c r="I49" s="62" t="s">
        <v>37</v>
      </c>
      <c r="J49" s="16" t="s">
        <v>374</v>
      </c>
      <c r="K49" s="16" t="s">
        <v>266</v>
      </c>
      <c r="L49" s="16" t="s">
        <v>375</v>
      </c>
      <c r="M49" s="16" t="s">
        <v>376</v>
      </c>
    </row>
    <row r="50" ht="111.6" spans="1:13">
      <c r="A50" s="16" t="s">
        <v>377</v>
      </c>
      <c r="B50" s="16" t="s">
        <v>378</v>
      </c>
      <c r="C50" s="16" t="s">
        <v>379</v>
      </c>
      <c r="D50" s="16" t="s">
        <v>380</v>
      </c>
      <c r="E50" s="16" t="s">
        <v>381</v>
      </c>
      <c r="F50" s="16" t="s">
        <v>382</v>
      </c>
      <c r="G50" s="63">
        <v>46048</v>
      </c>
      <c r="H50" s="63">
        <v>46048</v>
      </c>
      <c r="I50" s="62" t="s">
        <v>37</v>
      </c>
      <c r="J50" s="16" t="s">
        <v>383</v>
      </c>
      <c r="K50" s="16" t="s">
        <v>384</v>
      </c>
      <c r="L50" s="16" t="s">
        <v>16</v>
      </c>
      <c r="M50" s="16" t="s">
        <v>16</v>
      </c>
    </row>
    <row r="51" ht="76.8" spans="1:13">
      <c r="A51" s="16" t="s">
        <v>385</v>
      </c>
      <c r="B51" s="16" t="s">
        <v>386</v>
      </c>
      <c r="C51" s="16" t="s">
        <v>379</v>
      </c>
      <c r="D51" s="16" t="s">
        <v>380</v>
      </c>
      <c r="E51" s="16" t="s">
        <v>387</v>
      </c>
      <c r="F51" s="16" t="s">
        <v>388</v>
      </c>
      <c r="G51" s="63">
        <v>46046</v>
      </c>
      <c r="H51" s="63">
        <v>46046</v>
      </c>
      <c r="I51" s="62" t="s">
        <v>37</v>
      </c>
      <c r="J51" s="16" t="s">
        <v>389</v>
      </c>
      <c r="K51" s="16" t="s">
        <v>16</v>
      </c>
      <c r="L51" s="16" t="s">
        <v>16</v>
      </c>
      <c r="M51" s="16" t="s">
        <v>16</v>
      </c>
    </row>
    <row r="52" ht="111.6" spans="1:13">
      <c r="A52" s="16" t="s">
        <v>390</v>
      </c>
      <c r="B52" s="16" t="s">
        <v>391</v>
      </c>
      <c r="C52" s="16" t="s">
        <v>379</v>
      </c>
      <c r="D52" s="16" t="s">
        <v>392</v>
      </c>
      <c r="E52" s="16" t="s">
        <v>197</v>
      </c>
      <c r="F52" s="16" t="s">
        <v>393</v>
      </c>
      <c r="G52" s="63">
        <v>46047</v>
      </c>
      <c r="H52" s="63">
        <v>46047</v>
      </c>
      <c r="I52" s="62" t="s">
        <v>37</v>
      </c>
      <c r="J52" s="16" t="s">
        <v>394</v>
      </c>
      <c r="K52" s="16" t="s">
        <v>395</v>
      </c>
      <c r="L52" s="16" t="s">
        <v>16</v>
      </c>
      <c r="M52" s="16" t="s">
        <v>16</v>
      </c>
    </row>
    <row r="53" ht="111.6" spans="1:13">
      <c r="A53" s="16" t="s">
        <v>396</v>
      </c>
      <c r="B53" s="16" t="s">
        <v>397</v>
      </c>
      <c r="C53" s="16" t="s">
        <v>379</v>
      </c>
      <c r="D53" s="16" t="s">
        <v>392</v>
      </c>
      <c r="E53" s="16" t="s">
        <v>12</v>
      </c>
      <c r="F53" s="16" t="s">
        <v>398</v>
      </c>
      <c r="G53" s="63">
        <v>46048</v>
      </c>
      <c r="H53" s="63">
        <v>46048</v>
      </c>
      <c r="I53" s="62" t="s">
        <v>37</v>
      </c>
      <c r="J53" s="16" t="s">
        <v>399</v>
      </c>
      <c r="K53" s="16" t="s">
        <v>400</v>
      </c>
      <c r="L53" s="16" t="s">
        <v>16</v>
      </c>
      <c r="M53" s="16" t="s">
        <v>16</v>
      </c>
    </row>
  </sheetData>
  <dataValidations count="1">
    <dataValidation type="list" allowBlank="1" showInputMessage="1" showErrorMessage="1" sqref="I2:I3 I4:I53">
      <formula1>"验收通过,开发中,待验收,验收延迟,验收不通过"</formula1>
    </dataValidation>
  </dataValidation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G50"/>
  <sheetViews>
    <sheetView tabSelected="1" workbookViewId="0">
      <selection activeCell="D23" sqref="D23"/>
    </sheetView>
  </sheetViews>
  <sheetFormatPr defaultColWidth="8.88888888888889" defaultRowHeight="14.4" outlineLevelCol="6"/>
  <cols>
    <col min="2" max="2" width="19.8888888888889" customWidth="1"/>
    <col min="3" max="3" width="22.6666666666667" customWidth="1"/>
    <col min="4" max="4" width="21.1111111111111" customWidth="1"/>
    <col min="5" max="5" width="9.88888888888889" customWidth="1"/>
    <col min="6" max="6" width="25.2222222222222" customWidth="1"/>
    <col min="7" max="7" width="30.2222222222222" customWidth="1"/>
  </cols>
  <sheetData>
    <row r="2" ht="41" customHeight="1" spans="2:7">
      <c r="B2" s="42" t="s">
        <v>401</v>
      </c>
      <c r="C2" s="43"/>
      <c r="D2" s="43"/>
      <c r="E2" s="43"/>
      <c r="F2" s="43"/>
      <c r="G2" s="43"/>
    </row>
    <row r="3" ht="27" customHeight="1" spans="2:7">
      <c r="B3" s="32" t="s">
        <v>402</v>
      </c>
      <c r="C3" s="32" t="s">
        <v>403</v>
      </c>
      <c r="D3" s="32" t="s">
        <v>404</v>
      </c>
      <c r="E3" s="32"/>
      <c r="F3" s="32"/>
      <c r="G3" s="32"/>
    </row>
    <row r="4" ht="15.6" spans="2:7">
      <c r="B4" s="35" t="s">
        <v>405</v>
      </c>
      <c r="C4" s="44">
        <f>COUNTA(交付物清单!B2:B922)</f>
        <v>52</v>
      </c>
      <c r="D4" s="36" t="str">
        <f>"含功能交付物"&amp;COUNTIF(交付物清单!D2:D922,"功能交付物")&amp;"项、文档交付物 "&amp;COUNTIF(交付物清单!D2:D922,"文档交付物")&amp;" 项、代码交付物 "&amp;COUNTIF(交付物清单!D2:D922,"代码交付物")&amp;" 项、配置交付物 "&amp;COUNTIF(交付物清单!D2:D922,"配置交付物")&amp;" 项"</f>
        <v>含功能交付物48项、文档交付物 2 项、代码交付物 2 项、配置交付物 0 项</v>
      </c>
      <c r="E4" s="36"/>
      <c r="F4" s="36"/>
      <c r="G4" s="36"/>
    </row>
    <row r="5" ht="15.6" spans="2:7">
      <c r="B5" s="35" t="s">
        <v>406</v>
      </c>
      <c r="C5" s="44">
        <f>COUNTIF(交付物清单!I2:I922,"验收通过")</f>
        <v>52</v>
      </c>
      <c r="D5" s="45" t="str">
        <f>"占比"&amp;IF(C4=0,0,C5/C4)*100&amp;"%"</f>
        <v>占比100%</v>
      </c>
      <c r="E5" s="45"/>
      <c r="F5" s="45"/>
      <c r="G5" s="45"/>
    </row>
    <row r="6" ht="15.6" customHeight="1" spans="2:7">
      <c r="B6" s="35" t="s">
        <v>407</v>
      </c>
      <c r="C6" s="44">
        <f>COUNTIF(交付物清单!I2:I922,"待验收")</f>
        <v>0</v>
      </c>
      <c r="D6" s="45" t="str">
        <f>"占比"&amp;IF(C4=0,0,C6/C4)*100&amp;"%"</f>
        <v>占比0%</v>
      </c>
      <c r="E6" s="45"/>
      <c r="F6" s="45"/>
      <c r="G6" s="45"/>
    </row>
    <row r="7" ht="15.6" spans="2:7">
      <c r="B7" s="35" t="s">
        <v>408</v>
      </c>
      <c r="C7" s="44">
        <f>COUNTIF(交付物清单!I2:I922,"开发中")</f>
        <v>0</v>
      </c>
      <c r="D7" s="45" t="str">
        <f>"占比"&amp;IF(C4=0,0,C7/C4)*100&amp;"%"</f>
        <v>占比0%</v>
      </c>
      <c r="E7" s="45"/>
      <c r="F7" s="45"/>
      <c r="G7" s="45"/>
    </row>
    <row r="8" ht="15.6" spans="2:7">
      <c r="B8" s="35" t="s">
        <v>409</v>
      </c>
      <c r="C8" s="44">
        <f>COUNTIF(交付物清单!I2:I922,"验收不通过")</f>
        <v>0</v>
      </c>
      <c r="D8" s="45" t="str">
        <f>"占比"&amp;IF(C4=0,0,C8/C4)*100&amp;"%"</f>
        <v>占比0%</v>
      </c>
      <c r="E8" s="45"/>
      <c r="F8" s="45"/>
      <c r="G8" s="45"/>
    </row>
    <row r="9" ht="46.8" customHeight="1" spans="2:7">
      <c r="B9" s="35" t="s">
        <v>410</v>
      </c>
      <c r="C9" s="44" cm="1">
        <f t="array" ref="C9">SUMPRODUCT(--(交付物清单!H2:H922&gt;交付物清单!G2:G922),--(交付物清单!H2:H922&lt;&gt;""))</f>
        <v>0</v>
      </c>
      <c r="D9" s="45" t="str">
        <f>"占比"&amp;IF(C4=0,0,C9/C4)*100&amp;"%"</f>
        <v>占比0%</v>
      </c>
      <c r="E9" s="45"/>
      <c r="F9" s="45"/>
      <c r="G9" s="45"/>
    </row>
    <row r="10" ht="15.6" spans="2:7">
      <c r="B10" s="35" t="s">
        <v>411</v>
      </c>
      <c r="C10" s="46">
        <f>IF(C4=0,0,C5/C4)</f>
        <v>1</v>
      </c>
      <c r="D10" s="36" t="s">
        <v>412</v>
      </c>
      <c r="E10" s="36"/>
      <c r="F10" s="36"/>
      <c r="G10" s="36"/>
    </row>
    <row r="18" ht="50" customHeight="1" spans="2:7">
      <c r="B18" s="47" t="s">
        <v>413</v>
      </c>
      <c r="C18" s="48"/>
      <c r="D18" s="48"/>
      <c r="E18" s="48"/>
      <c r="F18" s="48"/>
      <c r="G18" s="49"/>
    </row>
    <row r="19" ht="26" customHeight="1" spans="2:7">
      <c r="B19" s="32" t="s">
        <v>22</v>
      </c>
      <c r="C19" s="32" t="s">
        <v>414</v>
      </c>
      <c r="D19" s="32" t="s">
        <v>415</v>
      </c>
      <c r="E19" s="32" t="s">
        <v>416</v>
      </c>
      <c r="F19" s="32" t="s">
        <v>417</v>
      </c>
      <c r="G19" s="32" t="s">
        <v>418</v>
      </c>
    </row>
    <row r="20" ht="26" customHeight="1" spans="2:7">
      <c r="B20" s="35" t="s">
        <v>44</v>
      </c>
      <c r="C20" s="44">
        <f>COUNTIF(交付物清单!C1:C921,"系统管理（SM）")</f>
        <v>2</v>
      </c>
      <c r="D20" s="44">
        <f>COUNTIFS(交付物清单!C1:C921,"系统管理（SM）",交付物清单!I1:I921,"验收通过")</f>
        <v>2</v>
      </c>
      <c r="E20" s="50">
        <f>IF(C20=0,0,D20/C20)</f>
        <v>1</v>
      </c>
      <c r="F20" s="35" t="s">
        <v>16</v>
      </c>
      <c r="G20" s="35" t="s">
        <v>12</v>
      </c>
    </row>
    <row r="21" ht="15.6" spans="2:7">
      <c r="B21" s="35" t="s">
        <v>138</v>
      </c>
      <c r="C21" s="44">
        <f>COUNTIF(交付物清单!C2:C922,"设备管理（EQ）")</f>
        <v>8</v>
      </c>
      <c r="D21" s="44">
        <f>COUNTIFS(交付物清单!C2:C922,"设备管理（EQ）",交付物清单!I2:I922,"验收通过")</f>
        <v>8</v>
      </c>
      <c r="E21" s="50">
        <f t="shared" ref="E21:E27" si="0">IF(C21=0,0,D21/C21)</f>
        <v>1</v>
      </c>
      <c r="F21" s="35" t="s">
        <v>16</v>
      </c>
      <c r="G21" s="35" t="s">
        <v>419</v>
      </c>
    </row>
    <row r="22" ht="15.6" spans="2:7">
      <c r="B22" s="35" t="s">
        <v>196</v>
      </c>
      <c r="C22" s="44">
        <f>COUNTIF(交付物清单!C2:C922,"仓库管理（WH）")</f>
        <v>6</v>
      </c>
      <c r="D22" s="44">
        <f>COUNTIFS(交付物清单!C2:C922,"仓库管理（WH）",交付物清单!I2:I922,"验收通过")</f>
        <v>6</v>
      </c>
      <c r="E22" s="50">
        <f t="shared" si="0"/>
        <v>1</v>
      </c>
      <c r="F22" s="35" t="s">
        <v>16</v>
      </c>
      <c r="G22" s="35" t="s">
        <v>420</v>
      </c>
    </row>
    <row r="23" ht="15.6" spans="2:7">
      <c r="B23" s="35" t="s">
        <v>52</v>
      </c>
      <c r="C23" s="44">
        <f>COUNTIF(交付物清单!C2:C922,"基础数据（BD）")</f>
        <v>12</v>
      </c>
      <c r="D23" s="44">
        <f>COUNTIFS(交付物清单!C2:C922,"基础数据（BD）",交付物清单!I2:I922,"验收通过")</f>
        <v>12</v>
      </c>
      <c r="E23" s="50">
        <f t="shared" si="0"/>
        <v>1</v>
      </c>
      <c r="F23" s="35" t="s">
        <v>16</v>
      </c>
      <c r="G23" s="35" t="s">
        <v>421</v>
      </c>
    </row>
    <row r="24" ht="15.6" spans="2:7">
      <c r="B24" s="35" t="s">
        <v>241</v>
      </c>
      <c r="C24" s="44">
        <f>COUNTIF(交付物清单!C2:C923,"销售管理（SL）")</f>
        <v>10</v>
      </c>
      <c r="D24" s="44">
        <f>COUNTIFS(交付物清单!C2:C923,"销售管理（SL）",交付物清单!I2:I923,"验收通过")</f>
        <v>10</v>
      </c>
      <c r="E24" s="50">
        <f t="shared" si="0"/>
        <v>1</v>
      </c>
      <c r="F24" s="35" t="s">
        <v>16</v>
      </c>
      <c r="G24" s="35" t="s">
        <v>421</v>
      </c>
    </row>
    <row r="25" ht="15.6" spans="2:7">
      <c r="B25" s="35" t="s">
        <v>312</v>
      </c>
      <c r="C25" s="44">
        <f>COUNTIF(交付物清单!C2:C924,"采购管理（PO）")</f>
        <v>10</v>
      </c>
      <c r="D25" s="44">
        <f>COUNTIFS(交付物清单!C2:C924,"采购管理（PO）",交付物清单!I2:I924,"验收通过")</f>
        <v>10</v>
      </c>
      <c r="E25" s="50">
        <f t="shared" si="0"/>
        <v>1</v>
      </c>
      <c r="F25" s="35" t="s">
        <v>16</v>
      </c>
      <c r="G25" s="35" t="s">
        <v>421</v>
      </c>
    </row>
    <row r="26" ht="15.6" spans="2:7">
      <c r="B26" s="35" t="s">
        <v>379</v>
      </c>
      <c r="C26" s="44">
        <f>COUNTIF(交付物清单!C4:C922,"全模块")</f>
        <v>4</v>
      </c>
      <c r="D26" s="44">
        <f>COUNTIFS(交付物清单!C2:C922,"全模块",交付物清单!I2:I922,"验收通过")</f>
        <v>4</v>
      </c>
      <c r="E26" s="50">
        <f t="shared" si="0"/>
        <v>1</v>
      </c>
      <c r="F26" s="35" t="s">
        <v>16</v>
      </c>
      <c r="G26" s="35" t="s">
        <v>422</v>
      </c>
    </row>
    <row r="27" ht="15.6" spans="2:7">
      <c r="B27" s="51" t="s">
        <v>423</v>
      </c>
      <c r="C27" s="52">
        <f>SUM(C20:C26)</f>
        <v>52</v>
      </c>
      <c r="D27" s="52">
        <f>SUM(D20:D26)</f>
        <v>52</v>
      </c>
      <c r="E27" s="53">
        <f t="shared" si="0"/>
        <v>1</v>
      </c>
      <c r="F27" s="35" t="s">
        <v>424</v>
      </c>
      <c r="G27" s="35" t="s">
        <v>424</v>
      </c>
    </row>
    <row r="30" ht="69" customHeight="1" spans="2:7">
      <c r="B30" s="47" t="s">
        <v>425</v>
      </c>
      <c r="C30" s="48"/>
      <c r="D30" s="48"/>
      <c r="E30" s="48"/>
      <c r="F30" s="48"/>
      <c r="G30" s="49"/>
    </row>
    <row r="31" ht="27" customHeight="1" spans="2:7">
      <c r="B31" s="32" t="s">
        <v>23</v>
      </c>
      <c r="C31" s="32" t="s">
        <v>426</v>
      </c>
      <c r="D31" s="32" t="s">
        <v>415</v>
      </c>
      <c r="E31" s="32" t="s">
        <v>416</v>
      </c>
      <c r="F31" s="32" t="s">
        <v>427</v>
      </c>
      <c r="G31" s="32" t="s">
        <v>428</v>
      </c>
    </row>
    <row r="32" ht="15.6" spans="2:7">
      <c r="B32" s="35" t="s">
        <v>35</v>
      </c>
      <c r="C32" s="44">
        <f>COUNTIF(交付物清单!D2:D922,"功能交付物")</f>
        <v>48</v>
      </c>
      <c r="D32" s="44">
        <f>COUNTIFS(交付物清单!D2:D922,"功能交付物",交付物清单!I2:I922,"验收通过")</f>
        <v>48</v>
      </c>
      <c r="E32" s="50">
        <f>IF(C32=0,0,D32/C32)</f>
        <v>1</v>
      </c>
      <c r="F32" s="35" t="s">
        <v>16</v>
      </c>
      <c r="G32" s="35" t="s">
        <v>429</v>
      </c>
    </row>
    <row r="33" ht="15.6" spans="2:7">
      <c r="B33" s="35" t="s">
        <v>380</v>
      </c>
      <c r="C33" s="44">
        <f>COUNTIF(交付物清单!D2:D922,"文档交付物")</f>
        <v>2</v>
      </c>
      <c r="D33" s="44">
        <f>COUNTIFS(交付物清单!D2:D922,"文档交付物",交付物清单!I2:I922,"验收通过")</f>
        <v>2</v>
      </c>
      <c r="E33" s="50">
        <f>IF(C33=0,0,D33/C33)</f>
        <v>1</v>
      </c>
      <c r="F33" s="35" t="s">
        <v>16</v>
      </c>
      <c r="G33" s="35" t="s">
        <v>430</v>
      </c>
    </row>
    <row r="34" ht="15.6" spans="2:7">
      <c r="B34" s="35" t="s">
        <v>392</v>
      </c>
      <c r="C34" s="44">
        <f>COUNTIF(交付物清单!D2:D922,"代码交付物")</f>
        <v>2</v>
      </c>
      <c r="D34" s="44">
        <f>COUNTIFS(交付物清单!D2:D922,"代码交付物",交付物清单!I2:I922,"验收通过")</f>
        <v>2</v>
      </c>
      <c r="E34" s="50">
        <f>IF(C34=0,0,D34/C34)</f>
        <v>1</v>
      </c>
      <c r="F34" s="35" t="s">
        <v>16</v>
      </c>
      <c r="G34" s="35" t="s">
        <v>429</v>
      </c>
    </row>
    <row r="35" ht="15.6" spans="2:7">
      <c r="B35" s="35" t="s">
        <v>431</v>
      </c>
      <c r="C35" s="44">
        <f>COUNTIF(交付物清单!D2:D922,"配置交付物")</f>
        <v>0</v>
      </c>
      <c r="D35" s="44">
        <f>COUNTIFS(交付物清单!D2:D922,"配置交付物",交付物清单!I2:I922,"验收通过")</f>
        <v>0</v>
      </c>
      <c r="E35" s="50">
        <f>IF(C35=0,0,D35/C35)</f>
        <v>0</v>
      </c>
      <c r="F35" s="35" t="s">
        <v>16</v>
      </c>
      <c r="G35" s="35" t="s">
        <v>420</v>
      </c>
    </row>
    <row r="36" ht="15.6" spans="2:7">
      <c r="B36" s="51" t="s">
        <v>432</v>
      </c>
      <c r="C36" s="52">
        <f>SUM(C32:C35)</f>
        <v>52</v>
      </c>
      <c r="D36" s="52">
        <f>SUM(D32:D35)</f>
        <v>52</v>
      </c>
      <c r="E36" s="53">
        <f>IF(C36=0,0,D36/C36)</f>
        <v>1</v>
      </c>
      <c r="F36" s="35" t="s">
        <v>424</v>
      </c>
      <c r="G36" s="35" t="s">
        <v>424</v>
      </c>
    </row>
    <row r="39" ht="60" customHeight="1" spans="2:7">
      <c r="B39" s="47" t="s">
        <v>433</v>
      </c>
      <c r="C39" s="48"/>
      <c r="D39" s="48"/>
      <c r="E39" s="48"/>
      <c r="F39" s="48"/>
      <c r="G39" s="49"/>
    </row>
    <row r="40" ht="30" customHeight="1" spans="2:7">
      <c r="B40" s="32" t="s">
        <v>434</v>
      </c>
      <c r="C40" s="32" t="s">
        <v>435</v>
      </c>
      <c r="D40" s="32" t="s">
        <v>436</v>
      </c>
      <c r="E40" s="32" t="s">
        <v>416</v>
      </c>
      <c r="F40" s="32" t="s">
        <v>437</v>
      </c>
      <c r="G40" s="32" t="s">
        <v>438</v>
      </c>
    </row>
    <row r="41" spans="2:7">
      <c r="B41" s="35" t="s">
        <v>439</v>
      </c>
      <c r="C41" s="44">
        <f>COUNTIFS(交付物清单!G2:G922,"&gt;="&amp;DATE(2026,1,6),交付物清单!G2:G922,"&lt;="&amp;DATE(2026,1,12))</f>
        <v>6</v>
      </c>
      <c r="D41" s="44">
        <f>COUNTIFS(交付物清单!G2:G922,"&gt;="&amp;DATE(2026,1,6),交付物清单!G2:G922,"&lt;="&amp;DATE(2026,1,12),交付物清单!I2:I922,"验收通过")</f>
        <v>6</v>
      </c>
      <c r="E41" s="50">
        <f>IF(C41=0,0,D41/C41)</f>
        <v>1</v>
      </c>
      <c r="F41" s="35" t="s">
        <v>440</v>
      </c>
      <c r="G41" s="54" t="s">
        <v>441</v>
      </c>
    </row>
    <row r="42" spans="2:7">
      <c r="B42" s="35"/>
      <c r="C42" s="44"/>
      <c r="D42" s="44"/>
      <c r="E42" s="50"/>
      <c r="F42" s="35"/>
      <c r="G42" s="55"/>
    </row>
    <row r="43" ht="21" customHeight="1" spans="2:7">
      <c r="B43" s="35"/>
      <c r="C43" s="44"/>
      <c r="D43" s="44"/>
      <c r="E43" s="50"/>
      <c r="F43" s="35"/>
      <c r="G43" s="56"/>
    </row>
    <row r="44" spans="2:7">
      <c r="B44" s="35" t="s">
        <v>442</v>
      </c>
      <c r="C44" s="44">
        <f>COUNTIFS(交付物清单!G2:G922,"&gt;="&amp;DATE(2026,1,13),交付物清单!G2:G922,"&lt;="&amp;DATE(2026,1,19))</f>
        <v>25</v>
      </c>
      <c r="D44" s="44">
        <f>COUNTIFS(交付物清单!G2:G922,"&gt;="&amp;DATE(2026,1,13),交付物清单!G2:G922,"&lt;="&amp;DATE(2026,1,19),交付物清单!I2:I922,"验收通过")</f>
        <v>25</v>
      </c>
      <c r="E44" s="50">
        <f>IF(C44=0,0,D44/C44)</f>
        <v>1</v>
      </c>
      <c r="F44" s="35" t="s">
        <v>440</v>
      </c>
      <c r="G44" s="54" t="s">
        <v>443</v>
      </c>
    </row>
    <row r="45" spans="2:7">
      <c r="B45" s="35"/>
      <c r="C45" s="44"/>
      <c r="D45" s="44"/>
      <c r="E45" s="50"/>
      <c r="F45" s="35"/>
      <c r="G45" s="55"/>
    </row>
    <row r="46" ht="22" customHeight="1" spans="2:7">
      <c r="B46" s="35"/>
      <c r="C46" s="44"/>
      <c r="D46" s="44"/>
      <c r="E46" s="50"/>
      <c r="F46" s="35"/>
      <c r="G46" s="56"/>
    </row>
    <row r="47" spans="2:7">
      <c r="B47" s="35" t="s">
        <v>444</v>
      </c>
      <c r="C47" s="44">
        <f>COUNTIFS(交付物清单!G2:G922,"&gt;="&amp;DATE(2026,1,20),交付物清单!G2:G922,"&lt;="&amp;DATE(2026,1,26))</f>
        <v>21</v>
      </c>
      <c r="D47" s="44">
        <f>COUNTIFS(交付物清单!G2:G922,"&gt;="&amp;DATE(2026,1,20),交付物清单!G2:G922,"&lt;="&amp;DATE(2026,1,26),交付物清单!I2:I922,"验收通过")</f>
        <v>21</v>
      </c>
      <c r="E47" s="50">
        <f>IF(C47=0,0,D47/C47)</f>
        <v>1</v>
      </c>
      <c r="F47" s="35" t="s">
        <v>440</v>
      </c>
      <c r="G47" s="54" t="s">
        <v>445</v>
      </c>
    </row>
    <row r="48" spans="2:7">
      <c r="B48" s="35"/>
      <c r="C48" s="44"/>
      <c r="D48" s="44"/>
      <c r="E48" s="50"/>
      <c r="F48" s="35"/>
      <c r="G48" s="55"/>
    </row>
    <row r="49" ht="24" customHeight="1" spans="2:7">
      <c r="B49" s="35"/>
      <c r="C49" s="44"/>
      <c r="D49" s="44"/>
      <c r="E49" s="50"/>
      <c r="F49" s="35"/>
      <c r="G49" s="56"/>
    </row>
    <row r="50" ht="15.6" spans="2:7">
      <c r="B50" s="51" t="s">
        <v>446</v>
      </c>
      <c r="C50" s="51">
        <f>SUM(C41:C49)</f>
        <v>52</v>
      </c>
      <c r="D50" s="51">
        <f>SUM(D41:D49)</f>
        <v>52</v>
      </c>
      <c r="E50" s="57">
        <f>IF(C50=0,0,D50/C50)</f>
        <v>1</v>
      </c>
      <c r="F50" s="35" t="s">
        <v>424</v>
      </c>
      <c r="G50" s="35" t="s">
        <v>424</v>
      </c>
    </row>
  </sheetData>
  <mergeCells count="30">
    <mergeCell ref="B2:G2"/>
    <mergeCell ref="D3:G3"/>
    <mergeCell ref="D4:G4"/>
    <mergeCell ref="D5:G5"/>
    <mergeCell ref="D6:G6"/>
    <mergeCell ref="D7:G7"/>
    <mergeCell ref="D8:G8"/>
    <mergeCell ref="D9:G9"/>
    <mergeCell ref="D10:G10"/>
    <mergeCell ref="B18:G18"/>
    <mergeCell ref="B30:G30"/>
    <mergeCell ref="B39:G39"/>
    <mergeCell ref="B41:B43"/>
    <mergeCell ref="B44:B46"/>
    <mergeCell ref="B47:B49"/>
    <mergeCell ref="C41:C43"/>
    <mergeCell ref="C44:C46"/>
    <mergeCell ref="C47:C49"/>
    <mergeCell ref="D41:D43"/>
    <mergeCell ref="D44:D46"/>
    <mergeCell ref="D47:D49"/>
    <mergeCell ref="E41:E43"/>
    <mergeCell ref="E44:E46"/>
    <mergeCell ref="E47:E49"/>
    <mergeCell ref="F41:F43"/>
    <mergeCell ref="F44:F46"/>
    <mergeCell ref="F47:F49"/>
    <mergeCell ref="G41:G43"/>
    <mergeCell ref="G44:G46"/>
    <mergeCell ref="G47:G49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61"/>
  <sheetViews>
    <sheetView workbookViewId="0">
      <selection activeCell="C69" sqref="C69"/>
    </sheetView>
  </sheetViews>
  <sheetFormatPr defaultColWidth="9" defaultRowHeight="14.4" outlineLevelCol="4"/>
  <cols>
    <col min="2" max="2" width="25" customWidth="1"/>
    <col min="3" max="3" width="68.2222222222222" customWidth="1"/>
    <col min="4" max="4" width="55.5555555555556" customWidth="1"/>
    <col min="5" max="5" width="36.3333333333333" customWidth="1"/>
  </cols>
  <sheetData>
    <row r="2" ht="58" customHeight="1" spans="2:5">
      <c r="B2" s="1" t="s">
        <v>447</v>
      </c>
      <c r="C2" s="1"/>
      <c r="D2" s="1"/>
      <c r="E2" s="1"/>
    </row>
    <row r="3" ht="22" customHeight="1" spans="2:5">
      <c r="B3" t="s">
        <v>448</v>
      </c>
      <c r="C3" s="2" t="s">
        <v>11</v>
      </c>
      <c r="D3" s="2"/>
      <c r="E3" s="2"/>
    </row>
    <row r="4" ht="21" customHeight="1" spans="2:5">
      <c r="B4" t="s">
        <v>449</v>
      </c>
      <c r="C4" s="3">
        <v>46006</v>
      </c>
      <c r="D4" s="2"/>
      <c r="E4" s="2"/>
    </row>
    <row r="5" ht="22" customHeight="1" spans="2:5">
      <c r="B5" t="s">
        <v>450</v>
      </c>
      <c r="C5" s="2" t="s">
        <v>451</v>
      </c>
      <c r="D5" s="2"/>
      <c r="E5" s="2"/>
    </row>
    <row r="6" ht="42" customHeight="1" spans="2:5">
      <c r="B6" s="4" t="s">
        <v>452</v>
      </c>
      <c r="C6" s="5"/>
      <c r="D6" s="5"/>
      <c r="E6" s="6"/>
    </row>
    <row r="7" ht="15.6" customHeight="1" spans="2:5">
      <c r="B7" s="7" t="s">
        <v>453</v>
      </c>
      <c r="C7" s="8" t="s">
        <v>427</v>
      </c>
      <c r="D7" s="8"/>
      <c r="E7" s="9"/>
    </row>
    <row r="8" ht="34.8" customHeight="1" spans="2:5">
      <c r="B8" s="10" t="s">
        <v>454</v>
      </c>
      <c r="C8" s="11" t="s">
        <v>455</v>
      </c>
      <c r="D8" s="11"/>
      <c r="E8" s="12"/>
    </row>
    <row r="9" ht="19.2" customHeight="1" spans="2:5">
      <c r="B9" s="10"/>
      <c r="C9" s="11" t="s">
        <v>456</v>
      </c>
      <c r="D9" s="11"/>
      <c r="E9" s="12"/>
    </row>
    <row r="10" ht="19.2" customHeight="1" spans="2:5">
      <c r="B10" s="10"/>
      <c r="C10" s="11" t="s">
        <v>457</v>
      </c>
      <c r="D10" s="11"/>
      <c r="E10" s="12"/>
    </row>
    <row r="11" ht="34.8" customHeight="1" spans="2:5">
      <c r="B11" s="10" t="s">
        <v>458</v>
      </c>
      <c r="C11" s="11" t="s">
        <v>459</v>
      </c>
      <c r="D11" s="11"/>
      <c r="E11" s="12"/>
    </row>
    <row r="12" ht="19.2" customHeight="1" spans="2:5">
      <c r="B12" s="10"/>
      <c r="C12" s="11" t="s">
        <v>460</v>
      </c>
      <c r="D12" s="11"/>
      <c r="E12" s="12"/>
    </row>
    <row r="13" ht="19.2" spans="2:5">
      <c r="B13" s="10"/>
      <c r="C13" s="11" t="s">
        <v>461</v>
      </c>
      <c r="D13" s="11"/>
      <c r="E13" s="12"/>
    </row>
    <row r="14" ht="19.2" customHeight="1" spans="2:5">
      <c r="B14" s="10"/>
      <c r="C14" s="11" t="s">
        <v>462</v>
      </c>
      <c r="D14" s="11"/>
      <c r="E14" s="12"/>
    </row>
    <row r="15" ht="19.2" spans="2:5">
      <c r="B15" s="10" t="s">
        <v>463</v>
      </c>
      <c r="C15" s="11" t="s">
        <v>464</v>
      </c>
      <c r="D15" s="11"/>
      <c r="E15" s="12"/>
    </row>
    <row r="16" ht="19.2" spans="2:5">
      <c r="B16" s="10"/>
      <c r="C16" s="11" t="s">
        <v>465</v>
      </c>
      <c r="D16" s="11"/>
      <c r="E16" s="12"/>
    </row>
    <row r="17" ht="19.95" spans="2:5">
      <c r="B17" s="13"/>
      <c r="C17" s="14" t="s">
        <v>466</v>
      </c>
      <c r="D17" s="14"/>
      <c r="E17" s="15"/>
    </row>
    <row r="18" ht="15.15"/>
    <row r="19" ht="42" customHeight="1" spans="2:5">
      <c r="B19" s="4" t="s">
        <v>467</v>
      </c>
      <c r="C19" s="5"/>
      <c r="D19" s="5"/>
      <c r="E19" s="6"/>
    </row>
    <row r="20" ht="15.6" spans="2:5">
      <c r="B20" s="7" t="s">
        <v>468</v>
      </c>
      <c r="C20" s="8" t="s">
        <v>469</v>
      </c>
      <c r="D20" s="8" t="s">
        <v>470</v>
      </c>
      <c r="E20" s="9" t="s">
        <v>471</v>
      </c>
    </row>
    <row r="21" ht="15.6" spans="2:5">
      <c r="B21" s="10" t="s">
        <v>472</v>
      </c>
      <c r="C21" s="16" t="s">
        <v>473</v>
      </c>
      <c r="D21" s="16" t="s">
        <v>474</v>
      </c>
      <c r="E21" s="17" t="s">
        <v>475</v>
      </c>
    </row>
    <row r="22" ht="19.2" spans="2:5">
      <c r="B22" s="10"/>
      <c r="C22" s="16" t="s">
        <v>476</v>
      </c>
      <c r="D22" s="16"/>
      <c r="E22" s="17"/>
    </row>
    <row r="23" ht="19.2" spans="2:5">
      <c r="B23" s="10"/>
      <c r="C23" s="16" t="s">
        <v>477</v>
      </c>
      <c r="D23" s="16"/>
      <c r="E23" s="17"/>
    </row>
    <row r="24" ht="19.2" spans="2:5">
      <c r="B24" s="10"/>
      <c r="C24" s="16" t="s">
        <v>478</v>
      </c>
      <c r="D24" s="16"/>
      <c r="E24" s="17"/>
    </row>
    <row r="25" ht="19.2" spans="2:5">
      <c r="B25" s="10"/>
      <c r="C25" s="16" t="s">
        <v>479</v>
      </c>
      <c r="D25" s="16"/>
      <c r="E25" s="17"/>
    </row>
    <row r="26" ht="38.4" spans="2:5">
      <c r="B26" s="10" t="s">
        <v>480</v>
      </c>
      <c r="C26" s="16" t="s">
        <v>481</v>
      </c>
      <c r="D26" s="16" t="s">
        <v>482</v>
      </c>
      <c r="E26" s="17" t="s">
        <v>483</v>
      </c>
    </row>
    <row r="27" ht="34.8" spans="2:5">
      <c r="B27" s="10" t="s">
        <v>484</v>
      </c>
      <c r="C27" s="16" t="s">
        <v>485</v>
      </c>
      <c r="D27" s="16" t="s">
        <v>486</v>
      </c>
      <c r="E27" s="17" t="s">
        <v>487</v>
      </c>
    </row>
    <row r="28" ht="19.2" spans="2:5">
      <c r="B28" s="10" t="s">
        <v>488</v>
      </c>
      <c r="C28" s="16" t="s">
        <v>489</v>
      </c>
      <c r="D28" s="16" t="s">
        <v>35</v>
      </c>
      <c r="E28" s="17" t="s">
        <v>490</v>
      </c>
    </row>
    <row r="29" ht="38.4" spans="2:5">
      <c r="B29" s="10" t="s">
        <v>491</v>
      </c>
      <c r="C29" s="16" t="s">
        <v>492</v>
      </c>
      <c r="D29" s="16" t="s">
        <v>197</v>
      </c>
      <c r="E29" s="17" t="s">
        <v>493</v>
      </c>
    </row>
    <row r="30" ht="34.8" spans="2:5">
      <c r="B30" s="10" t="s">
        <v>494</v>
      </c>
      <c r="C30" s="16" t="s">
        <v>495</v>
      </c>
      <c r="D30" s="16" t="s">
        <v>496</v>
      </c>
      <c r="E30" s="17" t="s">
        <v>497</v>
      </c>
    </row>
    <row r="31" ht="38.4" spans="2:5">
      <c r="B31" s="10" t="s">
        <v>498</v>
      </c>
      <c r="C31" s="16" t="s">
        <v>499</v>
      </c>
      <c r="D31" s="18">
        <v>46009</v>
      </c>
      <c r="E31" s="17" t="s">
        <v>500</v>
      </c>
    </row>
    <row r="32" ht="34.8" spans="2:5">
      <c r="B32" s="10" t="s">
        <v>27</v>
      </c>
      <c r="C32" s="16" t="s">
        <v>501</v>
      </c>
      <c r="D32" s="18">
        <v>46009</v>
      </c>
      <c r="E32" s="17" t="s">
        <v>502</v>
      </c>
    </row>
    <row r="33" ht="38.4" spans="2:5">
      <c r="B33" s="10" t="s">
        <v>503</v>
      </c>
      <c r="C33" s="16" t="s">
        <v>504</v>
      </c>
      <c r="D33" s="16" t="s">
        <v>37</v>
      </c>
      <c r="E33" s="17" t="s">
        <v>505</v>
      </c>
    </row>
    <row r="34" ht="38.4" spans="2:5">
      <c r="B34" s="10" t="s">
        <v>506</v>
      </c>
      <c r="C34" s="16" t="s">
        <v>507</v>
      </c>
      <c r="D34" s="16" t="s">
        <v>508</v>
      </c>
      <c r="E34" s="17" t="s">
        <v>509</v>
      </c>
    </row>
    <row r="35" ht="19.95" spans="2:5">
      <c r="B35" s="13" t="s">
        <v>10</v>
      </c>
      <c r="C35" s="19" t="s">
        <v>510</v>
      </c>
      <c r="D35" s="19" t="s">
        <v>511</v>
      </c>
      <c r="E35" s="20" t="s">
        <v>512</v>
      </c>
    </row>
    <row r="36" ht="15.15"/>
    <row r="37" ht="40" customHeight="1" spans="2:5">
      <c r="B37" s="4" t="s">
        <v>513</v>
      </c>
      <c r="C37" s="5"/>
      <c r="D37" s="5"/>
      <c r="E37" s="6"/>
    </row>
    <row r="38" ht="15.6" spans="2:5">
      <c r="B38" s="7" t="s">
        <v>514</v>
      </c>
      <c r="C38" s="8" t="s">
        <v>515</v>
      </c>
      <c r="D38" s="8" t="s">
        <v>516</v>
      </c>
      <c r="E38" s="9" t="s">
        <v>517</v>
      </c>
    </row>
    <row r="39" ht="38.4" spans="2:5">
      <c r="B39" s="10" t="s">
        <v>518</v>
      </c>
      <c r="C39" s="16" t="s">
        <v>24</v>
      </c>
      <c r="D39" s="16" t="s">
        <v>519</v>
      </c>
      <c r="E39" s="17" t="s">
        <v>520</v>
      </c>
    </row>
    <row r="40" ht="19.2" spans="2:5">
      <c r="B40" s="10" t="s">
        <v>521</v>
      </c>
      <c r="C40" s="16" t="s">
        <v>522</v>
      </c>
      <c r="D40" s="16" t="s">
        <v>523</v>
      </c>
      <c r="E40" s="17" t="s">
        <v>524</v>
      </c>
    </row>
    <row r="41" ht="19.2" spans="2:5">
      <c r="B41" s="10"/>
      <c r="C41" s="16"/>
      <c r="D41" s="16" t="s">
        <v>525</v>
      </c>
      <c r="E41" s="17"/>
    </row>
    <row r="42" ht="19.2" spans="2:5">
      <c r="B42" s="10"/>
      <c r="C42" s="16"/>
      <c r="D42" s="16" t="s">
        <v>526</v>
      </c>
      <c r="E42" s="17"/>
    </row>
    <row r="43" ht="38.4" spans="2:5">
      <c r="B43" s="10" t="s">
        <v>527</v>
      </c>
      <c r="C43" s="16" t="s">
        <v>528</v>
      </c>
      <c r="D43" s="16" t="s">
        <v>529</v>
      </c>
      <c r="E43" s="17" t="s">
        <v>530</v>
      </c>
    </row>
    <row r="44" ht="19.2" spans="2:5">
      <c r="B44" s="10" t="s">
        <v>531</v>
      </c>
      <c r="C44" s="16" t="s">
        <v>17</v>
      </c>
      <c r="D44" s="16" t="s">
        <v>532</v>
      </c>
      <c r="E44" s="17" t="s">
        <v>533</v>
      </c>
    </row>
    <row r="45" ht="19.2" spans="2:5">
      <c r="B45" s="10"/>
      <c r="C45" s="16"/>
      <c r="D45" s="16" t="s">
        <v>534</v>
      </c>
      <c r="E45" s="17"/>
    </row>
    <row r="46" ht="28" customHeight="1" spans="2:5">
      <c r="B46" s="21" t="s">
        <v>535</v>
      </c>
      <c r="C46" s="22"/>
      <c r="D46" s="22"/>
      <c r="E46" s="23"/>
    </row>
    <row r="47" spans="2:5">
      <c r="B47" s="24" t="s">
        <v>536</v>
      </c>
      <c r="C47" s="25"/>
      <c r="D47" s="25"/>
      <c r="E47" s="26"/>
    </row>
    <row r="48" spans="2:5">
      <c r="B48" s="27"/>
      <c r="C48" s="25"/>
      <c r="D48" s="25"/>
      <c r="E48" s="26"/>
    </row>
    <row r="49" ht="15.15" spans="2:5">
      <c r="B49" s="28"/>
      <c r="C49" s="29"/>
      <c r="D49" s="29"/>
      <c r="E49" s="30"/>
    </row>
    <row r="50" ht="15.15"/>
    <row r="51" ht="20.4" spans="2:5">
      <c r="B51" s="4" t="s">
        <v>537</v>
      </c>
      <c r="C51" s="5"/>
      <c r="D51" s="5"/>
      <c r="E51" s="6"/>
    </row>
    <row r="52" ht="15.6" spans="2:5">
      <c r="B52" s="31" t="s">
        <v>538</v>
      </c>
      <c r="C52" s="32" t="s">
        <v>539</v>
      </c>
      <c r="D52" s="32" t="s">
        <v>540</v>
      </c>
      <c r="E52" s="33"/>
    </row>
    <row r="53" ht="15.6" spans="2:5">
      <c r="B53" s="34" t="s">
        <v>541</v>
      </c>
      <c r="C53" s="35" t="s">
        <v>542</v>
      </c>
      <c r="D53" s="36" t="s">
        <v>543</v>
      </c>
      <c r="E53" s="37"/>
    </row>
    <row r="54" ht="15.6" spans="2:5">
      <c r="B54" s="34"/>
      <c r="C54" s="35" t="s">
        <v>544</v>
      </c>
      <c r="D54" s="36"/>
      <c r="E54" s="37"/>
    </row>
    <row r="55" ht="31.2" spans="2:5">
      <c r="B55" s="34" t="s">
        <v>545</v>
      </c>
      <c r="C55" s="35" t="s">
        <v>546</v>
      </c>
      <c r="D55" s="36" t="s">
        <v>547</v>
      </c>
      <c r="E55" s="37"/>
    </row>
    <row r="56" ht="31.2" spans="2:5">
      <c r="B56" s="34"/>
      <c r="C56" s="35" t="s">
        <v>548</v>
      </c>
      <c r="D56" s="36"/>
      <c r="E56" s="37"/>
    </row>
    <row r="57" ht="31.2" spans="2:5">
      <c r="B57" s="34" t="s">
        <v>549</v>
      </c>
      <c r="C57" s="35" t="s">
        <v>550</v>
      </c>
      <c r="D57" s="36" t="s">
        <v>551</v>
      </c>
      <c r="E57" s="37"/>
    </row>
    <row r="58" ht="15.6" spans="2:5">
      <c r="B58" s="34"/>
      <c r="C58" s="35" t="s">
        <v>552</v>
      </c>
      <c r="D58" s="36"/>
      <c r="E58" s="37"/>
    </row>
    <row r="59" ht="15.6" spans="2:5">
      <c r="B59" s="34"/>
      <c r="C59" s="35" t="s">
        <v>553</v>
      </c>
      <c r="D59" s="36"/>
      <c r="E59" s="37"/>
    </row>
    <row r="60" ht="31.2" spans="2:5">
      <c r="B60" s="34" t="s">
        <v>554</v>
      </c>
      <c r="C60" s="35" t="s">
        <v>555</v>
      </c>
      <c r="D60" s="36" t="s">
        <v>556</v>
      </c>
      <c r="E60" s="37"/>
    </row>
    <row r="61" ht="16.35" spans="2:5">
      <c r="B61" s="38"/>
      <c r="C61" s="39" t="s">
        <v>557</v>
      </c>
      <c r="D61" s="40"/>
      <c r="E61" s="41"/>
    </row>
  </sheetData>
  <mergeCells count="42">
    <mergeCell ref="B2:E2"/>
    <mergeCell ref="C3:E3"/>
    <mergeCell ref="C4:E4"/>
    <mergeCell ref="C5:E5"/>
    <mergeCell ref="B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B19:E19"/>
    <mergeCell ref="B37:E37"/>
    <mergeCell ref="B46:E46"/>
    <mergeCell ref="B51:E51"/>
    <mergeCell ref="D52:E52"/>
    <mergeCell ref="B8:B10"/>
    <mergeCell ref="B11:B14"/>
    <mergeCell ref="B15:B17"/>
    <mergeCell ref="B21:B25"/>
    <mergeCell ref="B40:B42"/>
    <mergeCell ref="B44:B45"/>
    <mergeCell ref="B53:B54"/>
    <mergeCell ref="B55:B56"/>
    <mergeCell ref="B57:B59"/>
    <mergeCell ref="B60:B61"/>
    <mergeCell ref="C40:C42"/>
    <mergeCell ref="C44:C45"/>
    <mergeCell ref="D21:D25"/>
    <mergeCell ref="E21:E25"/>
    <mergeCell ref="E40:E42"/>
    <mergeCell ref="E44:E45"/>
    <mergeCell ref="B47:E49"/>
    <mergeCell ref="D53:E54"/>
    <mergeCell ref="D55:E56"/>
    <mergeCell ref="D57:E59"/>
    <mergeCell ref="D60:E6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版本信息</vt:lpstr>
      <vt:lpstr>交付物清单</vt:lpstr>
      <vt:lpstr>交付状态统计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..</cp:lastModifiedBy>
  <dcterms:created xsi:type="dcterms:W3CDTF">2023-05-12T11:15:00Z</dcterms:created>
  <dcterms:modified xsi:type="dcterms:W3CDTF">2026-01-22T10:11:23Z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F97B837E5BA149F0A6458D85C7311757_12</vt:lpwstr>
  </property>
  <property fmtid="{D5CDD505-2E9C-101B-9397-08002B2CF9AE}" pid="4" name="CalculationRule">
    <vt:i4>0</vt:i4>
  </property>
</Properties>
</file>